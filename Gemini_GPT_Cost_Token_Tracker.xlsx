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Log" sheetId="1" state="visible" r:id="rId1"/>
    <sheet xmlns:r="http://schemas.openxmlformats.org/officeDocument/2006/relationships" name="Model_Pricing" sheetId="2" state="visible" r:id="rId2"/>
    <sheet xmlns:r="http://schemas.openxmlformats.org/officeDocument/2006/relationships" name="Monthly_Dashboard" sheetId="3" state="visible" r:id="rId3"/>
    <sheet xmlns:r="http://schemas.openxmlformats.org/officeDocument/2006/relationships" name="Budget_Tracker" sheetId="4" state="visible" r:id="rId4"/>
    <sheet xmlns:r="http://schemas.openxmlformats.org/officeDocument/2006/relationships" name="Lists" sheetId="5" state="hidden" r:id="rId5"/>
  </sheets>
  <definedNames>
    <definedName name="_xlnm._FilterDatabase" localSheetId="0" hidden="1">'Usage_Log'!$A$1:$Q$203</definedName>
    <definedName name="_xlnm._FilterDatabase" localSheetId="1" hidden="1">'Model_Pricing'!$A$1:$G$5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dd-mmm-yyyy"/>
    <numFmt numFmtId="165" formatCode="$0.000000"/>
    <numFmt numFmtId="166" formatCode="mmm-yyyy"/>
    <numFmt numFmtId="167" formatCode="$0.00"/>
    <numFmt numFmtId="168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Cost by Provider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'Monthly_Dashboard'!$B$5:$C$5</f>
            </numRef>
          </cat>
          <val>
            <numRef>
              <f>'Monthly_Dashboard'!$B$12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'Monthly_Dashboard'!$B$5:$C$5</f>
            </numRef>
          </cat>
          <val>
            <numRef>
              <f>'Monthly_Dashboard'!$C$12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Provider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2" customWidth="1" min="4" max="4"/>
    <col width="24" customWidth="1" min="5" max="5"/>
    <col width="14" customWidth="1" min="6" max="6"/>
    <col width="12" customWidth="1" min="7" max="7"/>
    <col width="16" customWidth="1" min="8" max="8"/>
    <col width="17" customWidth="1" min="9" max="9"/>
    <col width="16" customWidth="1" min="10" max="10"/>
    <col width="15" customWidth="1" min="11" max="11"/>
    <col width="16" customWidth="1" min="12" max="12"/>
    <col width="15" customWidth="1" min="13" max="13"/>
    <col width="16" customWidth="1" min="14" max="14"/>
    <col width="15" customWidth="1" min="15" max="15"/>
    <col width="18" customWidth="1" min="16" max="16"/>
    <col width="30" customWidth="1" min="17" max="17"/>
  </cols>
  <sheetData>
    <row r="1">
      <c r="A1" s="1" t="inlineStr">
        <is>
          <t>Date</t>
        </is>
      </c>
      <c r="B1" s="1" t="inlineStr">
        <is>
          <t>Project</t>
        </is>
      </c>
      <c r="C1" s="1" t="inlineStr">
        <is>
          <t>Use Case</t>
        </is>
      </c>
      <c r="D1" s="1" t="inlineStr">
        <is>
          <t>Provider</t>
        </is>
      </c>
      <c r="E1" s="1" t="inlineStr">
        <is>
          <t>Model</t>
        </is>
      </c>
      <c r="F1" s="1" t="inlineStr">
        <is>
          <t>Environment</t>
        </is>
      </c>
      <c r="G1" s="1" t="inlineStr">
        <is>
          <t>Requests</t>
        </is>
      </c>
      <c r="H1" s="1" t="inlineStr">
        <is>
          <t>Input Tokens</t>
        </is>
      </c>
      <c r="I1" s="1" t="inlineStr">
        <is>
          <t>Output Tokens</t>
        </is>
      </c>
      <c r="J1" s="1" t="inlineStr">
        <is>
          <t>Total Tokens</t>
        </is>
      </c>
      <c r="K1" s="1" t="inlineStr">
        <is>
          <t>Input $/1M</t>
        </is>
      </c>
      <c r="L1" s="1" t="inlineStr">
        <is>
          <t>Output $/1M</t>
        </is>
      </c>
      <c r="M1" s="1" t="inlineStr">
        <is>
          <t>Input Cost</t>
        </is>
      </c>
      <c r="N1" s="1" t="inlineStr">
        <is>
          <t>Output Cost</t>
        </is>
      </c>
      <c r="O1" s="1" t="inlineStr">
        <is>
          <t>Total Cost</t>
        </is>
      </c>
      <c r="P1" s="1" t="inlineStr">
        <is>
          <t>Owner</t>
        </is>
      </c>
      <c r="Q1" s="1" t="inlineStr">
        <is>
          <t>Remarks</t>
        </is>
      </c>
    </row>
    <row r="2">
      <c r="A2" s="2" t="inlineStr">
        <is>
          <t>21-Aug-2026</t>
        </is>
      </c>
      <c r="B2" t="inlineStr">
        <is>
          <t>COV01</t>
        </is>
      </c>
      <c r="C2" t="inlineStr">
        <is>
          <t>Evaluation</t>
        </is>
      </c>
      <c r="D2" t="inlineStr">
        <is>
          <t>Google</t>
        </is>
      </c>
      <c r="E2" t="inlineStr">
        <is>
          <t>Gemini 2.5 Flash</t>
        </is>
      </c>
      <c r="F2" t="inlineStr">
        <is>
          <t>UAT</t>
        </is>
      </c>
      <c r="G2" t="n">
        <v>1000</v>
      </c>
      <c r="H2" s="3" t="n">
        <v>2500000</v>
      </c>
      <c r="I2" s="3" t="n">
        <v>500000</v>
      </c>
      <c r="J2" s="3">
        <f>IF(OR(H2&lt;&gt;"",I2&lt;&gt;""),N(H2)+N(I2),"")</f>
        <v/>
      </c>
      <c r="K2" s="4">
        <f>IFERROR(XLOOKUP(D2&amp;"|"&amp;E2,Model_Pricing!$H$2:$H$100,Model_Pricing!$D$2:$D$100,""),"")</f>
        <v/>
      </c>
      <c r="L2" s="4">
        <f>IFERROR(XLOOKUP(D2&amp;"|"&amp;E2,Model_Pricing!$H$2:$H$100,Model_Pricing!$E$2:$E$100,""),"")</f>
        <v/>
      </c>
      <c r="M2" s="4">
        <f>IF(J2="","",H2/1000000*K2)</f>
        <v/>
      </c>
      <c r="N2" s="4">
        <f>IF(J2="","",I2/1000000*L2)</f>
        <v/>
      </c>
      <c r="O2" s="4">
        <f>IF(J2="","",M2+N2)</f>
        <v/>
      </c>
      <c r="P2" t="inlineStr">
        <is>
          <t>DS Team</t>
        </is>
      </c>
      <c r="Q2" t="inlineStr">
        <is>
          <t>EXAMPLE - replace/delete</t>
        </is>
      </c>
    </row>
    <row r="3">
      <c r="A3" s="2" t="inlineStr">
        <is>
          <t>21-Aug-2026</t>
        </is>
      </c>
      <c r="B3" t="inlineStr">
        <is>
          <t>COV01</t>
        </is>
      </c>
      <c r="C3" t="inlineStr">
        <is>
          <t>Evaluation</t>
        </is>
      </c>
      <c r="D3" t="inlineStr">
        <is>
          <t>OpenAI</t>
        </is>
      </c>
      <c r="E3" t="inlineStr">
        <is>
          <t>GPT-5.x</t>
        </is>
      </c>
      <c r="F3" t="inlineStr">
        <is>
          <t>UAT</t>
        </is>
      </c>
      <c r="G3" t="n">
        <v>1000</v>
      </c>
      <c r="H3" s="3" t="n">
        <v>2000000</v>
      </c>
      <c r="I3" s="3" t="n">
        <v>400000</v>
      </c>
      <c r="J3" s="3">
        <f>IF(OR(H3&lt;&gt;"",I3&lt;&gt;""),N(H3)+N(I3),"")</f>
        <v/>
      </c>
      <c r="K3" s="4">
        <f>IFERROR(XLOOKUP(D3&amp;"|"&amp;E3,Model_Pricing!$H$2:$H$100,Model_Pricing!$D$2:$D$100,""),"")</f>
        <v/>
      </c>
      <c r="L3" s="4">
        <f>IFERROR(XLOOKUP(D3&amp;"|"&amp;E3,Model_Pricing!$H$2:$H$100,Model_Pricing!$E$2:$E$100,""),"")</f>
        <v/>
      </c>
      <c r="M3" s="4">
        <f>IF(J3="","",H3/1000000*K3)</f>
        <v/>
      </c>
      <c r="N3" s="4">
        <f>IF(J3="","",I3/1000000*L3)</f>
        <v/>
      </c>
      <c r="O3" s="4">
        <f>IF(J3="","",M3+N3)</f>
        <v/>
      </c>
      <c r="P3" t="inlineStr">
        <is>
          <t>DS Team</t>
        </is>
      </c>
      <c r="Q3" t="inlineStr">
        <is>
          <t>EXAMPLE - replace/delete</t>
        </is>
      </c>
    </row>
    <row r="4">
      <c r="A4" s="2" t="n"/>
      <c r="H4" s="3" t="n"/>
      <c r="I4" s="3" t="n"/>
      <c r="J4" s="3">
        <f>IF(OR(H4&lt;&gt;"",I4&lt;&gt;""),N(H4)+N(I4),"")</f>
        <v/>
      </c>
      <c r="K4" s="4">
        <f>IFERROR(INDEX(Model_Pricing!$D:$D,MATCH(1,(Model_Pricing!$A:$A=D4)*(Model_Pricing!$B:$B=E4),0)),"")</f>
        <v/>
      </c>
      <c r="L4" s="4">
        <f>IFERROR(INDEX(Model_Pricing!$E:$E,MATCH(1,(Model_Pricing!$A:$A=D4)*(Model_Pricing!$B:$B=E4),0)),"")</f>
        <v/>
      </c>
      <c r="M4" s="4">
        <f>IF(J4="","",H4/1000000*K4)</f>
        <v/>
      </c>
      <c r="N4" s="4">
        <f>IF(J4="","",I4/1000000*L4)</f>
        <v/>
      </c>
      <c r="O4" s="4">
        <f>IF(J4="","",M4+N4)</f>
        <v/>
      </c>
    </row>
    <row r="5">
      <c r="A5" s="2" t="n"/>
      <c r="H5" s="3" t="n"/>
      <c r="I5" s="3" t="n"/>
      <c r="J5" s="3">
        <f>IF(OR(H5&lt;&gt;"",I5&lt;&gt;""),N(H5)+N(I5),"")</f>
        <v/>
      </c>
      <c r="K5" s="4">
        <f>IFERROR(INDEX(Model_Pricing!$D:$D,MATCH(1,(Model_Pricing!$A:$A=D5)*(Model_Pricing!$B:$B=E5),0)),"")</f>
        <v/>
      </c>
      <c r="L5" s="4">
        <f>IFERROR(INDEX(Model_Pricing!$E:$E,MATCH(1,(Model_Pricing!$A:$A=D5)*(Model_Pricing!$B:$B=E5),0)),"")</f>
        <v/>
      </c>
      <c r="M5" s="4">
        <f>IF(J5="","",H5/1000000*K5)</f>
        <v/>
      </c>
      <c r="N5" s="4">
        <f>IF(J5="","",I5/1000000*L5)</f>
        <v/>
      </c>
      <c r="O5" s="4">
        <f>IF(J5="","",M5+N5)</f>
        <v/>
      </c>
    </row>
    <row r="6">
      <c r="A6" s="2" t="n"/>
      <c r="H6" s="3" t="n"/>
      <c r="I6" s="3" t="n"/>
      <c r="J6" s="3">
        <f>IF(OR(H6&lt;&gt;"",I6&lt;&gt;""),N(H6)+N(I6),"")</f>
        <v/>
      </c>
      <c r="K6" s="4">
        <f>IFERROR(INDEX(Model_Pricing!$D:$D,MATCH(1,(Model_Pricing!$A:$A=D6)*(Model_Pricing!$B:$B=E6),0)),"")</f>
        <v/>
      </c>
      <c r="L6" s="4">
        <f>IFERROR(INDEX(Model_Pricing!$E:$E,MATCH(1,(Model_Pricing!$A:$A=D6)*(Model_Pricing!$B:$B=E6),0)),"")</f>
        <v/>
      </c>
      <c r="M6" s="4">
        <f>IF(J6="","",H6/1000000*K6)</f>
        <v/>
      </c>
      <c r="N6" s="4">
        <f>IF(J6="","",I6/1000000*L6)</f>
        <v/>
      </c>
      <c r="O6" s="4">
        <f>IF(J6="","",M6+N6)</f>
        <v/>
      </c>
    </row>
    <row r="7">
      <c r="A7" s="2" t="n"/>
      <c r="H7" s="3" t="n"/>
      <c r="I7" s="3" t="n"/>
      <c r="J7" s="3">
        <f>IF(OR(H7&lt;&gt;"",I7&lt;&gt;""),N(H7)+N(I7),"")</f>
        <v/>
      </c>
      <c r="K7" s="4">
        <f>IFERROR(INDEX(Model_Pricing!$D:$D,MATCH(1,(Model_Pricing!$A:$A=D7)*(Model_Pricing!$B:$B=E7),0)),"")</f>
        <v/>
      </c>
      <c r="L7" s="4">
        <f>IFERROR(INDEX(Model_Pricing!$E:$E,MATCH(1,(Model_Pricing!$A:$A=D7)*(Model_Pricing!$B:$B=E7),0)),"")</f>
        <v/>
      </c>
      <c r="M7" s="4">
        <f>IF(J7="","",H7/1000000*K7)</f>
        <v/>
      </c>
      <c r="N7" s="4">
        <f>IF(J7="","",I7/1000000*L7)</f>
        <v/>
      </c>
      <c r="O7" s="4">
        <f>IF(J7="","",M7+N7)</f>
        <v/>
      </c>
    </row>
    <row r="8">
      <c r="A8" s="2" t="n"/>
      <c r="H8" s="3" t="n"/>
      <c r="I8" s="3" t="n"/>
      <c r="J8" s="3">
        <f>IF(OR(H8&lt;&gt;"",I8&lt;&gt;""),N(H8)+N(I8),"")</f>
        <v/>
      </c>
      <c r="K8" s="4">
        <f>IFERROR(INDEX(Model_Pricing!$D:$D,MATCH(1,(Model_Pricing!$A:$A=D8)*(Model_Pricing!$B:$B=E8),0)),"")</f>
        <v/>
      </c>
      <c r="L8" s="4">
        <f>IFERROR(INDEX(Model_Pricing!$E:$E,MATCH(1,(Model_Pricing!$A:$A=D8)*(Model_Pricing!$B:$B=E8),0)),"")</f>
        <v/>
      </c>
      <c r="M8" s="4">
        <f>IF(J8="","",H8/1000000*K8)</f>
        <v/>
      </c>
      <c r="N8" s="4">
        <f>IF(J8="","",I8/1000000*L8)</f>
        <v/>
      </c>
      <c r="O8" s="4">
        <f>IF(J8="","",M8+N8)</f>
        <v/>
      </c>
    </row>
    <row r="9">
      <c r="A9" s="2" t="n"/>
      <c r="H9" s="3" t="n"/>
      <c r="I9" s="3" t="n"/>
      <c r="J9" s="3">
        <f>IF(OR(H9&lt;&gt;"",I9&lt;&gt;""),N(H9)+N(I9),"")</f>
        <v/>
      </c>
      <c r="K9" s="4">
        <f>IFERROR(INDEX(Model_Pricing!$D:$D,MATCH(1,(Model_Pricing!$A:$A=D9)*(Model_Pricing!$B:$B=E9),0)),"")</f>
        <v/>
      </c>
      <c r="L9" s="4">
        <f>IFERROR(INDEX(Model_Pricing!$E:$E,MATCH(1,(Model_Pricing!$A:$A=D9)*(Model_Pricing!$B:$B=E9),0)),"")</f>
        <v/>
      </c>
      <c r="M9" s="4">
        <f>IF(J9="","",H9/1000000*K9)</f>
        <v/>
      </c>
      <c r="N9" s="4">
        <f>IF(J9="","",I9/1000000*L9)</f>
        <v/>
      </c>
      <c r="O9" s="4">
        <f>IF(J9="","",M9+N9)</f>
        <v/>
      </c>
    </row>
    <row r="10">
      <c r="A10" s="2" t="n"/>
      <c r="H10" s="3" t="n"/>
      <c r="I10" s="3" t="n"/>
      <c r="J10" s="3">
        <f>IF(OR(H10&lt;&gt;"",I10&lt;&gt;""),N(H10)+N(I10),"")</f>
        <v/>
      </c>
      <c r="K10" s="4">
        <f>IFERROR(INDEX(Model_Pricing!$D:$D,MATCH(1,(Model_Pricing!$A:$A=D10)*(Model_Pricing!$B:$B=E10),0)),"")</f>
        <v/>
      </c>
      <c r="L10" s="4">
        <f>IFERROR(INDEX(Model_Pricing!$E:$E,MATCH(1,(Model_Pricing!$A:$A=D10)*(Model_Pricing!$B:$B=E10),0)),"")</f>
        <v/>
      </c>
      <c r="M10" s="4">
        <f>IF(J10="","",H10/1000000*K10)</f>
        <v/>
      </c>
      <c r="N10" s="4">
        <f>IF(J10="","",I10/1000000*L10)</f>
        <v/>
      </c>
      <c r="O10" s="4">
        <f>IF(J10="","",M10+N10)</f>
        <v/>
      </c>
    </row>
    <row r="11">
      <c r="A11" s="2" t="n"/>
      <c r="H11" s="3" t="n"/>
      <c r="I11" s="3" t="n"/>
      <c r="J11" s="3">
        <f>IF(OR(H11&lt;&gt;"",I11&lt;&gt;""),N(H11)+N(I11),"")</f>
        <v/>
      </c>
      <c r="K11" s="4">
        <f>IFERROR(INDEX(Model_Pricing!$D:$D,MATCH(1,(Model_Pricing!$A:$A=D11)*(Model_Pricing!$B:$B=E11),0)),"")</f>
        <v/>
      </c>
      <c r="L11" s="4">
        <f>IFERROR(INDEX(Model_Pricing!$E:$E,MATCH(1,(Model_Pricing!$A:$A=D11)*(Model_Pricing!$B:$B=E11),0)),"")</f>
        <v/>
      </c>
      <c r="M11" s="4">
        <f>IF(J11="","",H11/1000000*K11)</f>
        <v/>
      </c>
      <c r="N11" s="4">
        <f>IF(J11="","",I11/1000000*L11)</f>
        <v/>
      </c>
      <c r="O11" s="4">
        <f>IF(J11="","",M11+N11)</f>
        <v/>
      </c>
    </row>
    <row r="12">
      <c r="A12" s="2" t="n"/>
      <c r="H12" s="3" t="n"/>
      <c r="I12" s="3" t="n"/>
      <c r="J12" s="3">
        <f>IF(OR(H12&lt;&gt;"",I12&lt;&gt;""),N(H12)+N(I12),"")</f>
        <v/>
      </c>
      <c r="K12" s="4">
        <f>IFERROR(INDEX(Model_Pricing!$D:$D,MATCH(1,(Model_Pricing!$A:$A=D12)*(Model_Pricing!$B:$B=E12),0)),"")</f>
        <v/>
      </c>
      <c r="L12" s="4">
        <f>IFERROR(INDEX(Model_Pricing!$E:$E,MATCH(1,(Model_Pricing!$A:$A=D12)*(Model_Pricing!$B:$B=E12),0)),"")</f>
        <v/>
      </c>
      <c r="M12" s="4">
        <f>IF(J12="","",H12/1000000*K12)</f>
        <v/>
      </c>
      <c r="N12" s="4">
        <f>IF(J12="","",I12/1000000*L12)</f>
        <v/>
      </c>
      <c r="O12" s="4">
        <f>IF(J12="","",M12+N12)</f>
        <v/>
      </c>
    </row>
    <row r="13">
      <c r="A13" s="2" t="n"/>
      <c r="H13" s="3" t="n"/>
      <c r="I13" s="3" t="n"/>
      <c r="J13" s="3">
        <f>IF(OR(H13&lt;&gt;"",I13&lt;&gt;""),N(H13)+N(I13),"")</f>
        <v/>
      </c>
      <c r="K13" s="4">
        <f>IFERROR(INDEX(Model_Pricing!$D:$D,MATCH(1,(Model_Pricing!$A:$A=D13)*(Model_Pricing!$B:$B=E13),0)),"")</f>
        <v/>
      </c>
      <c r="L13" s="4">
        <f>IFERROR(INDEX(Model_Pricing!$E:$E,MATCH(1,(Model_Pricing!$A:$A=D13)*(Model_Pricing!$B:$B=E13),0)),"")</f>
        <v/>
      </c>
      <c r="M13" s="4">
        <f>IF(J13="","",H13/1000000*K13)</f>
        <v/>
      </c>
      <c r="N13" s="4">
        <f>IF(J13="","",I13/1000000*L13)</f>
        <v/>
      </c>
      <c r="O13" s="4">
        <f>IF(J13="","",M13+N13)</f>
        <v/>
      </c>
    </row>
    <row r="14">
      <c r="A14" s="2" t="n"/>
      <c r="H14" s="3" t="n"/>
      <c r="I14" s="3" t="n"/>
      <c r="J14" s="3">
        <f>IF(OR(H14&lt;&gt;"",I14&lt;&gt;""),N(H14)+N(I14),"")</f>
        <v/>
      </c>
      <c r="K14" s="4">
        <f>IFERROR(INDEX(Model_Pricing!$D:$D,MATCH(1,(Model_Pricing!$A:$A=D14)*(Model_Pricing!$B:$B=E14),0)),"")</f>
        <v/>
      </c>
      <c r="L14" s="4">
        <f>IFERROR(INDEX(Model_Pricing!$E:$E,MATCH(1,(Model_Pricing!$A:$A=D14)*(Model_Pricing!$B:$B=E14),0)),"")</f>
        <v/>
      </c>
      <c r="M14" s="4">
        <f>IF(J14="","",H14/1000000*K14)</f>
        <v/>
      </c>
      <c r="N14" s="4">
        <f>IF(J14="","",I14/1000000*L14)</f>
        <v/>
      </c>
      <c r="O14" s="4">
        <f>IF(J14="","",M14+N14)</f>
        <v/>
      </c>
    </row>
    <row r="15">
      <c r="A15" s="2" t="n"/>
      <c r="H15" s="3" t="n"/>
      <c r="I15" s="3" t="n"/>
      <c r="J15" s="3">
        <f>IF(OR(H15&lt;&gt;"",I15&lt;&gt;""),N(H15)+N(I15),"")</f>
        <v/>
      </c>
      <c r="K15" s="4">
        <f>IFERROR(INDEX(Model_Pricing!$D:$D,MATCH(1,(Model_Pricing!$A:$A=D15)*(Model_Pricing!$B:$B=E15),0)),"")</f>
        <v/>
      </c>
      <c r="L15" s="4">
        <f>IFERROR(INDEX(Model_Pricing!$E:$E,MATCH(1,(Model_Pricing!$A:$A=D15)*(Model_Pricing!$B:$B=E15),0)),"")</f>
        <v/>
      </c>
      <c r="M15" s="4">
        <f>IF(J15="","",H15/1000000*K15)</f>
        <v/>
      </c>
      <c r="N15" s="4">
        <f>IF(J15="","",I15/1000000*L15)</f>
        <v/>
      </c>
      <c r="O15" s="4">
        <f>IF(J15="","",M15+N15)</f>
        <v/>
      </c>
    </row>
    <row r="16">
      <c r="A16" s="2" t="n"/>
      <c r="H16" s="3" t="n"/>
      <c r="I16" s="3" t="n"/>
      <c r="J16" s="3">
        <f>IF(OR(H16&lt;&gt;"",I16&lt;&gt;""),N(H16)+N(I16),"")</f>
        <v/>
      </c>
      <c r="K16" s="4">
        <f>IFERROR(INDEX(Model_Pricing!$D:$D,MATCH(1,(Model_Pricing!$A:$A=D16)*(Model_Pricing!$B:$B=E16),0)),"")</f>
        <v/>
      </c>
      <c r="L16" s="4">
        <f>IFERROR(INDEX(Model_Pricing!$E:$E,MATCH(1,(Model_Pricing!$A:$A=D16)*(Model_Pricing!$B:$B=E16),0)),"")</f>
        <v/>
      </c>
      <c r="M16" s="4">
        <f>IF(J16="","",H16/1000000*K16)</f>
        <v/>
      </c>
      <c r="N16" s="4">
        <f>IF(J16="","",I16/1000000*L16)</f>
        <v/>
      </c>
      <c r="O16" s="4">
        <f>IF(J16="","",M16+N16)</f>
        <v/>
      </c>
    </row>
    <row r="17">
      <c r="A17" s="2" t="n"/>
      <c r="H17" s="3" t="n"/>
      <c r="I17" s="3" t="n"/>
      <c r="J17" s="3">
        <f>IF(OR(H17&lt;&gt;"",I17&lt;&gt;""),N(H17)+N(I17),"")</f>
        <v/>
      </c>
      <c r="K17" s="4">
        <f>IFERROR(INDEX(Model_Pricing!$D:$D,MATCH(1,(Model_Pricing!$A:$A=D17)*(Model_Pricing!$B:$B=E17),0)),"")</f>
        <v/>
      </c>
      <c r="L17" s="4">
        <f>IFERROR(INDEX(Model_Pricing!$E:$E,MATCH(1,(Model_Pricing!$A:$A=D17)*(Model_Pricing!$B:$B=E17),0)),"")</f>
        <v/>
      </c>
      <c r="M17" s="4">
        <f>IF(J17="","",H17/1000000*K17)</f>
        <v/>
      </c>
      <c r="N17" s="4">
        <f>IF(J17="","",I17/1000000*L17)</f>
        <v/>
      </c>
      <c r="O17" s="4">
        <f>IF(J17="","",M17+N17)</f>
        <v/>
      </c>
    </row>
    <row r="18">
      <c r="A18" s="2" t="n"/>
      <c r="H18" s="3" t="n"/>
      <c r="I18" s="3" t="n"/>
      <c r="J18" s="3">
        <f>IF(OR(H18&lt;&gt;"",I18&lt;&gt;""),N(H18)+N(I18),"")</f>
        <v/>
      </c>
      <c r="K18" s="4">
        <f>IFERROR(INDEX(Model_Pricing!$D:$D,MATCH(1,(Model_Pricing!$A:$A=D18)*(Model_Pricing!$B:$B=E18),0)),"")</f>
        <v/>
      </c>
      <c r="L18" s="4">
        <f>IFERROR(INDEX(Model_Pricing!$E:$E,MATCH(1,(Model_Pricing!$A:$A=D18)*(Model_Pricing!$B:$B=E18),0)),"")</f>
        <v/>
      </c>
      <c r="M18" s="4">
        <f>IF(J18="","",H18/1000000*K18)</f>
        <v/>
      </c>
      <c r="N18" s="4">
        <f>IF(J18="","",I18/1000000*L18)</f>
        <v/>
      </c>
      <c r="O18" s="4">
        <f>IF(J18="","",M18+N18)</f>
        <v/>
      </c>
    </row>
    <row r="19">
      <c r="A19" s="2" t="n"/>
      <c r="H19" s="3" t="n"/>
      <c r="I19" s="3" t="n"/>
      <c r="J19" s="3">
        <f>IF(OR(H19&lt;&gt;"",I19&lt;&gt;""),N(H19)+N(I19),"")</f>
        <v/>
      </c>
      <c r="K19" s="4">
        <f>IFERROR(INDEX(Model_Pricing!$D:$D,MATCH(1,(Model_Pricing!$A:$A=D19)*(Model_Pricing!$B:$B=E19),0)),"")</f>
        <v/>
      </c>
      <c r="L19" s="4">
        <f>IFERROR(INDEX(Model_Pricing!$E:$E,MATCH(1,(Model_Pricing!$A:$A=D19)*(Model_Pricing!$B:$B=E19),0)),"")</f>
        <v/>
      </c>
      <c r="M19" s="4">
        <f>IF(J19="","",H19/1000000*K19)</f>
        <v/>
      </c>
      <c r="N19" s="4">
        <f>IF(J19="","",I19/1000000*L19)</f>
        <v/>
      </c>
      <c r="O19" s="4">
        <f>IF(J19="","",M19+N19)</f>
        <v/>
      </c>
    </row>
    <row r="20">
      <c r="A20" s="2" t="n"/>
      <c r="H20" s="3" t="n"/>
      <c r="I20" s="3" t="n"/>
      <c r="J20" s="3">
        <f>IF(OR(H20&lt;&gt;"",I20&lt;&gt;""),N(H20)+N(I20),"")</f>
        <v/>
      </c>
      <c r="K20" s="4">
        <f>IFERROR(INDEX(Model_Pricing!$D:$D,MATCH(1,(Model_Pricing!$A:$A=D20)*(Model_Pricing!$B:$B=E20),0)),"")</f>
        <v/>
      </c>
      <c r="L20" s="4">
        <f>IFERROR(INDEX(Model_Pricing!$E:$E,MATCH(1,(Model_Pricing!$A:$A=D20)*(Model_Pricing!$B:$B=E20),0)),"")</f>
        <v/>
      </c>
      <c r="M20" s="4">
        <f>IF(J20="","",H20/1000000*K20)</f>
        <v/>
      </c>
      <c r="N20" s="4">
        <f>IF(J20="","",I20/1000000*L20)</f>
        <v/>
      </c>
      <c r="O20" s="4">
        <f>IF(J20="","",M20+N20)</f>
        <v/>
      </c>
    </row>
    <row r="21">
      <c r="A21" s="2" t="n"/>
      <c r="H21" s="3" t="n"/>
      <c r="I21" s="3" t="n"/>
      <c r="J21" s="3">
        <f>IF(OR(H21&lt;&gt;"",I21&lt;&gt;""),N(H21)+N(I21),"")</f>
        <v/>
      </c>
      <c r="K21" s="4">
        <f>IFERROR(INDEX(Model_Pricing!$D:$D,MATCH(1,(Model_Pricing!$A:$A=D21)*(Model_Pricing!$B:$B=E21),0)),"")</f>
        <v/>
      </c>
      <c r="L21" s="4">
        <f>IFERROR(INDEX(Model_Pricing!$E:$E,MATCH(1,(Model_Pricing!$A:$A=D21)*(Model_Pricing!$B:$B=E21),0)),"")</f>
        <v/>
      </c>
      <c r="M21" s="4">
        <f>IF(J21="","",H21/1000000*K21)</f>
        <v/>
      </c>
      <c r="N21" s="4">
        <f>IF(J21="","",I21/1000000*L21)</f>
        <v/>
      </c>
      <c r="O21" s="4">
        <f>IF(J21="","",M21+N21)</f>
        <v/>
      </c>
    </row>
    <row r="22">
      <c r="A22" s="2" t="n"/>
      <c r="H22" s="3" t="n"/>
      <c r="I22" s="3" t="n"/>
      <c r="J22" s="3">
        <f>IF(OR(H22&lt;&gt;"",I22&lt;&gt;""),N(H22)+N(I22),"")</f>
        <v/>
      </c>
      <c r="K22" s="4">
        <f>IFERROR(INDEX(Model_Pricing!$D:$D,MATCH(1,(Model_Pricing!$A:$A=D22)*(Model_Pricing!$B:$B=E22),0)),"")</f>
        <v/>
      </c>
      <c r="L22" s="4">
        <f>IFERROR(INDEX(Model_Pricing!$E:$E,MATCH(1,(Model_Pricing!$A:$A=D22)*(Model_Pricing!$B:$B=E22),0)),"")</f>
        <v/>
      </c>
      <c r="M22" s="4">
        <f>IF(J22="","",H22/1000000*K22)</f>
        <v/>
      </c>
      <c r="N22" s="4">
        <f>IF(J22="","",I22/1000000*L22)</f>
        <v/>
      </c>
      <c r="O22" s="4">
        <f>IF(J22="","",M22+N22)</f>
        <v/>
      </c>
    </row>
    <row r="23">
      <c r="A23" s="2" t="n"/>
      <c r="H23" s="3" t="n"/>
      <c r="I23" s="3" t="n"/>
      <c r="J23" s="3">
        <f>IF(OR(H23&lt;&gt;"",I23&lt;&gt;""),N(H23)+N(I23),"")</f>
        <v/>
      </c>
      <c r="K23" s="4">
        <f>IFERROR(INDEX(Model_Pricing!$D:$D,MATCH(1,(Model_Pricing!$A:$A=D23)*(Model_Pricing!$B:$B=E23),0)),"")</f>
        <v/>
      </c>
      <c r="L23" s="4">
        <f>IFERROR(INDEX(Model_Pricing!$E:$E,MATCH(1,(Model_Pricing!$A:$A=D23)*(Model_Pricing!$B:$B=E23),0)),"")</f>
        <v/>
      </c>
      <c r="M23" s="4">
        <f>IF(J23="","",H23/1000000*K23)</f>
        <v/>
      </c>
      <c r="N23" s="4">
        <f>IF(J23="","",I23/1000000*L23)</f>
        <v/>
      </c>
      <c r="O23" s="4">
        <f>IF(J23="","",M23+N23)</f>
        <v/>
      </c>
    </row>
    <row r="24">
      <c r="A24" s="2" t="n"/>
      <c r="H24" s="3" t="n"/>
      <c r="I24" s="3" t="n"/>
      <c r="J24" s="3">
        <f>IF(OR(H24&lt;&gt;"",I24&lt;&gt;""),N(H24)+N(I24),"")</f>
        <v/>
      </c>
      <c r="K24" s="4">
        <f>IFERROR(INDEX(Model_Pricing!$D:$D,MATCH(1,(Model_Pricing!$A:$A=D24)*(Model_Pricing!$B:$B=E24),0)),"")</f>
        <v/>
      </c>
      <c r="L24" s="4">
        <f>IFERROR(INDEX(Model_Pricing!$E:$E,MATCH(1,(Model_Pricing!$A:$A=D24)*(Model_Pricing!$B:$B=E24),0)),"")</f>
        <v/>
      </c>
      <c r="M24" s="4">
        <f>IF(J24="","",H24/1000000*K24)</f>
        <v/>
      </c>
      <c r="N24" s="4">
        <f>IF(J24="","",I24/1000000*L24)</f>
        <v/>
      </c>
      <c r="O24" s="4">
        <f>IF(J24="","",M24+N24)</f>
        <v/>
      </c>
    </row>
    <row r="25">
      <c r="A25" s="2" t="n"/>
      <c r="H25" s="3" t="n"/>
      <c r="I25" s="3" t="n"/>
      <c r="J25" s="3">
        <f>IF(OR(H25&lt;&gt;"",I25&lt;&gt;""),N(H25)+N(I25),"")</f>
        <v/>
      </c>
      <c r="K25" s="4">
        <f>IFERROR(INDEX(Model_Pricing!$D:$D,MATCH(1,(Model_Pricing!$A:$A=D25)*(Model_Pricing!$B:$B=E25),0)),"")</f>
        <v/>
      </c>
      <c r="L25" s="4">
        <f>IFERROR(INDEX(Model_Pricing!$E:$E,MATCH(1,(Model_Pricing!$A:$A=D25)*(Model_Pricing!$B:$B=E25),0)),"")</f>
        <v/>
      </c>
      <c r="M25" s="4">
        <f>IF(J25="","",H25/1000000*K25)</f>
        <v/>
      </c>
      <c r="N25" s="4">
        <f>IF(J25="","",I25/1000000*L25)</f>
        <v/>
      </c>
      <c r="O25" s="4">
        <f>IF(J25="","",M25+N25)</f>
        <v/>
      </c>
    </row>
    <row r="26">
      <c r="A26" s="2" t="n"/>
      <c r="H26" s="3" t="n"/>
      <c r="I26" s="3" t="n"/>
      <c r="J26" s="3">
        <f>IF(OR(H26&lt;&gt;"",I26&lt;&gt;""),N(H26)+N(I26),"")</f>
        <v/>
      </c>
      <c r="K26" s="4">
        <f>IFERROR(INDEX(Model_Pricing!$D:$D,MATCH(1,(Model_Pricing!$A:$A=D26)*(Model_Pricing!$B:$B=E26),0)),"")</f>
        <v/>
      </c>
      <c r="L26" s="4">
        <f>IFERROR(INDEX(Model_Pricing!$E:$E,MATCH(1,(Model_Pricing!$A:$A=D26)*(Model_Pricing!$B:$B=E26),0)),"")</f>
        <v/>
      </c>
      <c r="M26" s="4">
        <f>IF(J26="","",H26/1000000*K26)</f>
        <v/>
      </c>
      <c r="N26" s="4">
        <f>IF(J26="","",I26/1000000*L26)</f>
        <v/>
      </c>
      <c r="O26" s="4">
        <f>IF(J26="","",M26+N26)</f>
        <v/>
      </c>
    </row>
    <row r="27">
      <c r="A27" s="2" t="n"/>
      <c r="H27" s="3" t="n"/>
      <c r="I27" s="3" t="n"/>
      <c r="J27" s="3">
        <f>IF(OR(H27&lt;&gt;"",I27&lt;&gt;""),N(H27)+N(I27),"")</f>
        <v/>
      </c>
      <c r="K27" s="4">
        <f>IFERROR(INDEX(Model_Pricing!$D:$D,MATCH(1,(Model_Pricing!$A:$A=D27)*(Model_Pricing!$B:$B=E27),0)),"")</f>
        <v/>
      </c>
      <c r="L27" s="4">
        <f>IFERROR(INDEX(Model_Pricing!$E:$E,MATCH(1,(Model_Pricing!$A:$A=D27)*(Model_Pricing!$B:$B=E27),0)),"")</f>
        <v/>
      </c>
      <c r="M27" s="4">
        <f>IF(J27="","",H27/1000000*K27)</f>
        <v/>
      </c>
      <c r="N27" s="4">
        <f>IF(J27="","",I27/1000000*L27)</f>
        <v/>
      </c>
      <c r="O27" s="4">
        <f>IF(J27="","",M27+N27)</f>
        <v/>
      </c>
    </row>
    <row r="28">
      <c r="A28" s="2" t="n"/>
      <c r="H28" s="3" t="n"/>
      <c r="I28" s="3" t="n"/>
      <c r="J28" s="3">
        <f>IF(OR(H28&lt;&gt;"",I28&lt;&gt;""),N(H28)+N(I28),"")</f>
        <v/>
      </c>
      <c r="K28" s="4">
        <f>IFERROR(INDEX(Model_Pricing!$D:$D,MATCH(1,(Model_Pricing!$A:$A=D28)*(Model_Pricing!$B:$B=E28),0)),"")</f>
        <v/>
      </c>
      <c r="L28" s="4">
        <f>IFERROR(INDEX(Model_Pricing!$E:$E,MATCH(1,(Model_Pricing!$A:$A=D28)*(Model_Pricing!$B:$B=E28),0)),"")</f>
        <v/>
      </c>
      <c r="M28" s="4">
        <f>IF(J28="","",H28/1000000*K28)</f>
        <v/>
      </c>
      <c r="N28" s="4">
        <f>IF(J28="","",I28/1000000*L28)</f>
        <v/>
      </c>
      <c r="O28" s="4">
        <f>IF(J28="","",M28+N28)</f>
        <v/>
      </c>
    </row>
    <row r="29">
      <c r="A29" s="2" t="n"/>
      <c r="H29" s="3" t="n"/>
      <c r="I29" s="3" t="n"/>
      <c r="J29" s="3">
        <f>IF(OR(H29&lt;&gt;"",I29&lt;&gt;""),N(H29)+N(I29),"")</f>
        <v/>
      </c>
      <c r="K29" s="4">
        <f>IFERROR(INDEX(Model_Pricing!$D:$D,MATCH(1,(Model_Pricing!$A:$A=D29)*(Model_Pricing!$B:$B=E29),0)),"")</f>
        <v/>
      </c>
      <c r="L29" s="4">
        <f>IFERROR(INDEX(Model_Pricing!$E:$E,MATCH(1,(Model_Pricing!$A:$A=D29)*(Model_Pricing!$B:$B=E29),0)),"")</f>
        <v/>
      </c>
      <c r="M29" s="4">
        <f>IF(J29="","",H29/1000000*K29)</f>
        <v/>
      </c>
      <c r="N29" s="4">
        <f>IF(J29="","",I29/1000000*L29)</f>
        <v/>
      </c>
      <c r="O29" s="4">
        <f>IF(J29="","",M29+N29)</f>
        <v/>
      </c>
    </row>
    <row r="30">
      <c r="A30" s="2" t="n"/>
      <c r="H30" s="3" t="n"/>
      <c r="I30" s="3" t="n"/>
      <c r="J30" s="3">
        <f>IF(OR(H30&lt;&gt;"",I30&lt;&gt;""),N(H30)+N(I30),"")</f>
        <v/>
      </c>
      <c r="K30" s="4">
        <f>IFERROR(INDEX(Model_Pricing!$D:$D,MATCH(1,(Model_Pricing!$A:$A=D30)*(Model_Pricing!$B:$B=E30),0)),"")</f>
        <v/>
      </c>
      <c r="L30" s="4">
        <f>IFERROR(INDEX(Model_Pricing!$E:$E,MATCH(1,(Model_Pricing!$A:$A=D30)*(Model_Pricing!$B:$B=E30),0)),"")</f>
        <v/>
      </c>
      <c r="M30" s="4">
        <f>IF(J30="","",H30/1000000*K30)</f>
        <v/>
      </c>
      <c r="N30" s="4">
        <f>IF(J30="","",I30/1000000*L30)</f>
        <v/>
      </c>
      <c r="O30" s="4">
        <f>IF(J30="","",M30+N30)</f>
        <v/>
      </c>
    </row>
    <row r="31">
      <c r="A31" s="2" t="n"/>
      <c r="H31" s="3" t="n"/>
      <c r="I31" s="3" t="n"/>
      <c r="J31" s="3">
        <f>IF(OR(H31&lt;&gt;"",I31&lt;&gt;""),N(H31)+N(I31),"")</f>
        <v/>
      </c>
      <c r="K31" s="4">
        <f>IFERROR(INDEX(Model_Pricing!$D:$D,MATCH(1,(Model_Pricing!$A:$A=D31)*(Model_Pricing!$B:$B=E31),0)),"")</f>
        <v/>
      </c>
      <c r="L31" s="4">
        <f>IFERROR(INDEX(Model_Pricing!$E:$E,MATCH(1,(Model_Pricing!$A:$A=D31)*(Model_Pricing!$B:$B=E31),0)),"")</f>
        <v/>
      </c>
      <c r="M31" s="4">
        <f>IF(J31="","",H31/1000000*K31)</f>
        <v/>
      </c>
      <c r="N31" s="4">
        <f>IF(J31="","",I31/1000000*L31)</f>
        <v/>
      </c>
      <c r="O31" s="4">
        <f>IF(J31="","",M31+N31)</f>
        <v/>
      </c>
    </row>
    <row r="32">
      <c r="A32" s="2" t="n"/>
      <c r="H32" s="3" t="n"/>
      <c r="I32" s="3" t="n"/>
      <c r="J32" s="3">
        <f>IF(OR(H32&lt;&gt;"",I32&lt;&gt;""),N(H32)+N(I32),"")</f>
        <v/>
      </c>
      <c r="K32" s="4">
        <f>IFERROR(INDEX(Model_Pricing!$D:$D,MATCH(1,(Model_Pricing!$A:$A=D32)*(Model_Pricing!$B:$B=E32),0)),"")</f>
        <v/>
      </c>
      <c r="L32" s="4">
        <f>IFERROR(INDEX(Model_Pricing!$E:$E,MATCH(1,(Model_Pricing!$A:$A=D32)*(Model_Pricing!$B:$B=E32),0)),"")</f>
        <v/>
      </c>
      <c r="M32" s="4">
        <f>IF(J32="","",H32/1000000*K32)</f>
        <v/>
      </c>
      <c r="N32" s="4">
        <f>IF(J32="","",I32/1000000*L32)</f>
        <v/>
      </c>
      <c r="O32" s="4">
        <f>IF(J32="","",M32+N32)</f>
        <v/>
      </c>
    </row>
    <row r="33">
      <c r="A33" s="2" t="n"/>
      <c r="H33" s="3" t="n"/>
      <c r="I33" s="3" t="n"/>
      <c r="J33" s="3">
        <f>IF(OR(H33&lt;&gt;"",I33&lt;&gt;""),N(H33)+N(I33),"")</f>
        <v/>
      </c>
      <c r="K33" s="4">
        <f>IFERROR(INDEX(Model_Pricing!$D:$D,MATCH(1,(Model_Pricing!$A:$A=D33)*(Model_Pricing!$B:$B=E33),0)),"")</f>
        <v/>
      </c>
      <c r="L33" s="4">
        <f>IFERROR(INDEX(Model_Pricing!$E:$E,MATCH(1,(Model_Pricing!$A:$A=D33)*(Model_Pricing!$B:$B=E33),0)),"")</f>
        <v/>
      </c>
      <c r="M33" s="4">
        <f>IF(J33="","",H33/1000000*K33)</f>
        <v/>
      </c>
      <c r="N33" s="4">
        <f>IF(J33="","",I33/1000000*L33)</f>
        <v/>
      </c>
      <c r="O33" s="4">
        <f>IF(J33="","",M33+N33)</f>
        <v/>
      </c>
    </row>
    <row r="34">
      <c r="A34" s="2" t="n"/>
      <c r="H34" s="3" t="n"/>
      <c r="I34" s="3" t="n"/>
      <c r="J34" s="3">
        <f>IF(OR(H34&lt;&gt;"",I34&lt;&gt;""),N(H34)+N(I34),"")</f>
        <v/>
      </c>
      <c r="K34" s="4">
        <f>IFERROR(INDEX(Model_Pricing!$D:$D,MATCH(1,(Model_Pricing!$A:$A=D34)*(Model_Pricing!$B:$B=E34),0)),"")</f>
        <v/>
      </c>
      <c r="L34" s="4">
        <f>IFERROR(INDEX(Model_Pricing!$E:$E,MATCH(1,(Model_Pricing!$A:$A=D34)*(Model_Pricing!$B:$B=E34),0)),"")</f>
        <v/>
      </c>
      <c r="M34" s="4">
        <f>IF(J34="","",H34/1000000*K34)</f>
        <v/>
      </c>
      <c r="N34" s="4">
        <f>IF(J34="","",I34/1000000*L34)</f>
        <v/>
      </c>
      <c r="O34" s="4">
        <f>IF(J34="","",M34+N34)</f>
        <v/>
      </c>
    </row>
    <row r="35">
      <c r="A35" s="2" t="n"/>
      <c r="H35" s="3" t="n"/>
      <c r="I35" s="3" t="n"/>
      <c r="J35" s="3">
        <f>IF(OR(H35&lt;&gt;"",I35&lt;&gt;""),N(H35)+N(I35),"")</f>
        <v/>
      </c>
      <c r="K35" s="4">
        <f>IFERROR(INDEX(Model_Pricing!$D:$D,MATCH(1,(Model_Pricing!$A:$A=D35)*(Model_Pricing!$B:$B=E35),0)),"")</f>
        <v/>
      </c>
      <c r="L35" s="4">
        <f>IFERROR(INDEX(Model_Pricing!$E:$E,MATCH(1,(Model_Pricing!$A:$A=D35)*(Model_Pricing!$B:$B=E35),0)),"")</f>
        <v/>
      </c>
      <c r="M35" s="4">
        <f>IF(J35="","",H35/1000000*K35)</f>
        <v/>
      </c>
      <c r="N35" s="4">
        <f>IF(J35="","",I35/1000000*L35)</f>
        <v/>
      </c>
      <c r="O35" s="4">
        <f>IF(J35="","",M35+N35)</f>
        <v/>
      </c>
    </row>
    <row r="36">
      <c r="A36" s="2" t="n"/>
      <c r="H36" s="3" t="n"/>
      <c r="I36" s="3" t="n"/>
      <c r="J36" s="3">
        <f>IF(OR(H36&lt;&gt;"",I36&lt;&gt;""),N(H36)+N(I36),"")</f>
        <v/>
      </c>
      <c r="K36" s="4">
        <f>IFERROR(INDEX(Model_Pricing!$D:$D,MATCH(1,(Model_Pricing!$A:$A=D36)*(Model_Pricing!$B:$B=E36),0)),"")</f>
        <v/>
      </c>
      <c r="L36" s="4">
        <f>IFERROR(INDEX(Model_Pricing!$E:$E,MATCH(1,(Model_Pricing!$A:$A=D36)*(Model_Pricing!$B:$B=E36),0)),"")</f>
        <v/>
      </c>
      <c r="M36" s="4">
        <f>IF(J36="","",H36/1000000*K36)</f>
        <v/>
      </c>
      <c r="N36" s="4">
        <f>IF(J36="","",I36/1000000*L36)</f>
        <v/>
      </c>
      <c r="O36" s="4">
        <f>IF(J36="","",M36+N36)</f>
        <v/>
      </c>
    </row>
    <row r="37">
      <c r="A37" s="2" t="n"/>
      <c r="H37" s="3" t="n"/>
      <c r="I37" s="3" t="n"/>
      <c r="J37" s="3">
        <f>IF(OR(H37&lt;&gt;"",I37&lt;&gt;""),N(H37)+N(I37),"")</f>
        <v/>
      </c>
      <c r="K37" s="4">
        <f>IFERROR(INDEX(Model_Pricing!$D:$D,MATCH(1,(Model_Pricing!$A:$A=D37)*(Model_Pricing!$B:$B=E37),0)),"")</f>
        <v/>
      </c>
      <c r="L37" s="4">
        <f>IFERROR(INDEX(Model_Pricing!$E:$E,MATCH(1,(Model_Pricing!$A:$A=D37)*(Model_Pricing!$B:$B=E37),0)),"")</f>
        <v/>
      </c>
      <c r="M37" s="4">
        <f>IF(J37="","",H37/1000000*K37)</f>
        <v/>
      </c>
      <c r="N37" s="4">
        <f>IF(J37="","",I37/1000000*L37)</f>
        <v/>
      </c>
      <c r="O37" s="4">
        <f>IF(J37="","",M37+N37)</f>
        <v/>
      </c>
    </row>
    <row r="38">
      <c r="A38" s="2" t="n"/>
      <c r="H38" s="3" t="n"/>
      <c r="I38" s="3" t="n"/>
      <c r="J38" s="3">
        <f>IF(OR(H38&lt;&gt;"",I38&lt;&gt;""),N(H38)+N(I38),"")</f>
        <v/>
      </c>
      <c r="K38" s="4">
        <f>IFERROR(INDEX(Model_Pricing!$D:$D,MATCH(1,(Model_Pricing!$A:$A=D38)*(Model_Pricing!$B:$B=E38),0)),"")</f>
        <v/>
      </c>
      <c r="L38" s="4">
        <f>IFERROR(INDEX(Model_Pricing!$E:$E,MATCH(1,(Model_Pricing!$A:$A=D38)*(Model_Pricing!$B:$B=E38),0)),"")</f>
        <v/>
      </c>
      <c r="M38" s="4">
        <f>IF(J38="","",H38/1000000*K38)</f>
        <v/>
      </c>
      <c r="N38" s="4">
        <f>IF(J38="","",I38/1000000*L38)</f>
        <v/>
      </c>
      <c r="O38" s="4">
        <f>IF(J38="","",M38+N38)</f>
        <v/>
      </c>
    </row>
    <row r="39">
      <c r="A39" s="2" t="n"/>
      <c r="H39" s="3" t="n"/>
      <c r="I39" s="3" t="n"/>
      <c r="J39" s="3">
        <f>IF(OR(H39&lt;&gt;"",I39&lt;&gt;""),N(H39)+N(I39),"")</f>
        <v/>
      </c>
      <c r="K39" s="4">
        <f>IFERROR(INDEX(Model_Pricing!$D:$D,MATCH(1,(Model_Pricing!$A:$A=D39)*(Model_Pricing!$B:$B=E39),0)),"")</f>
        <v/>
      </c>
      <c r="L39" s="4">
        <f>IFERROR(INDEX(Model_Pricing!$E:$E,MATCH(1,(Model_Pricing!$A:$A=D39)*(Model_Pricing!$B:$B=E39),0)),"")</f>
        <v/>
      </c>
      <c r="M39" s="4">
        <f>IF(J39="","",H39/1000000*K39)</f>
        <v/>
      </c>
      <c r="N39" s="4">
        <f>IF(J39="","",I39/1000000*L39)</f>
        <v/>
      </c>
      <c r="O39" s="4">
        <f>IF(J39="","",M39+N39)</f>
        <v/>
      </c>
    </row>
    <row r="40">
      <c r="A40" s="2" t="n"/>
      <c r="H40" s="3" t="n"/>
      <c r="I40" s="3" t="n"/>
      <c r="J40" s="3">
        <f>IF(OR(H40&lt;&gt;"",I40&lt;&gt;""),N(H40)+N(I40),"")</f>
        <v/>
      </c>
      <c r="K40" s="4">
        <f>IFERROR(INDEX(Model_Pricing!$D:$D,MATCH(1,(Model_Pricing!$A:$A=D40)*(Model_Pricing!$B:$B=E40),0)),"")</f>
        <v/>
      </c>
      <c r="L40" s="4">
        <f>IFERROR(INDEX(Model_Pricing!$E:$E,MATCH(1,(Model_Pricing!$A:$A=D40)*(Model_Pricing!$B:$B=E40),0)),"")</f>
        <v/>
      </c>
      <c r="M40" s="4">
        <f>IF(J40="","",H40/1000000*K40)</f>
        <v/>
      </c>
      <c r="N40" s="4">
        <f>IF(J40="","",I40/1000000*L40)</f>
        <v/>
      </c>
      <c r="O40" s="4">
        <f>IF(J40="","",M40+N40)</f>
        <v/>
      </c>
    </row>
    <row r="41">
      <c r="A41" s="2" t="n"/>
      <c r="H41" s="3" t="n"/>
      <c r="I41" s="3" t="n"/>
      <c r="J41" s="3">
        <f>IF(OR(H41&lt;&gt;"",I41&lt;&gt;""),N(H41)+N(I41),"")</f>
        <v/>
      </c>
      <c r="K41" s="4">
        <f>IFERROR(INDEX(Model_Pricing!$D:$D,MATCH(1,(Model_Pricing!$A:$A=D41)*(Model_Pricing!$B:$B=E41),0)),"")</f>
        <v/>
      </c>
      <c r="L41" s="4">
        <f>IFERROR(INDEX(Model_Pricing!$E:$E,MATCH(1,(Model_Pricing!$A:$A=D41)*(Model_Pricing!$B:$B=E41),0)),"")</f>
        <v/>
      </c>
      <c r="M41" s="4">
        <f>IF(J41="","",H41/1000000*K41)</f>
        <v/>
      </c>
      <c r="N41" s="4">
        <f>IF(J41="","",I41/1000000*L41)</f>
        <v/>
      </c>
      <c r="O41" s="4">
        <f>IF(J41="","",M41+N41)</f>
        <v/>
      </c>
    </row>
    <row r="42">
      <c r="A42" s="2" t="n"/>
      <c r="H42" s="3" t="n"/>
      <c r="I42" s="3" t="n"/>
      <c r="J42" s="3">
        <f>IF(OR(H42&lt;&gt;"",I42&lt;&gt;""),N(H42)+N(I42),"")</f>
        <v/>
      </c>
      <c r="K42" s="4">
        <f>IFERROR(INDEX(Model_Pricing!$D:$D,MATCH(1,(Model_Pricing!$A:$A=D42)*(Model_Pricing!$B:$B=E42),0)),"")</f>
        <v/>
      </c>
      <c r="L42" s="4">
        <f>IFERROR(INDEX(Model_Pricing!$E:$E,MATCH(1,(Model_Pricing!$A:$A=D42)*(Model_Pricing!$B:$B=E42),0)),"")</f>
        <v/>
      </c>
      <c r="M42" s="4">
        <f>IF(J42="","",H42/1000000*K42)</f>
        <v/>
      </c>
      <c r="N42" s="4">
        <f>IF(J42="","",I42/1000000*L42)</f>
        <v/>
      </c>
      <c r="O42" s="4">
        <f>IF(J42="","",M42+N42)</f>
        <v/>
      </c>
    </row>
    <row r="43">
      <c r="A43" s="2" t="n"/>
      <c r="H43" s="3" t="n"/>
      <c r="I43" s="3" t="n"/>
      <c r="J43" s="3">
        <f>IF(OR(H43&lt;&gt;"",I43&lt;&gt;""),N(H43)+N(I43),"")</f>
        <v/>
      </c>
      <c r="K43" s="4">
        <f>IFERROR(INDEX(Model_Pricing!$D:$D,MATCH(1,(Model_Pricing!$A:$A=D43)*(Model_Pricing!$B:$B=E43),0)),"")</f>
        <v/>
      </c>
      <c r="L43" s="4">
        <f>IFERROR(INDEX(Model_Pricing!$E:$E,MATCH(1,(Model_Pricing!$A:$A=D43)*(Model_Pricing!$B:$B=E43),0)),"")</f>
        <v/>
      </c>
      <c r="M43" s="4">
        <f>IF(J43="","",H43/1000000*K43)</f>
        <v/>
      </c>
      <c r="N43" s="4">
        <f>IF(J43="","",I43/1000000*L43)</f>
        <v/>
      </c>
      <c r="O43" s="4">
        <f>IF(J43="","",M43+N43)</f>
        <v/>
      </c>
    </row>
    <row r="44">
      <c r="A44" s="2" t="n"/>
      <c r="H44" s="3" t="n"/>
      <c r="I44" s="3" t="n"/>
      <c r="J44" s="3">
        <f>IF(OR(H44&lt;&gt;"",I44&lt;&gt;""),N(H44)+N(I44),"")</f>
        <v/>
      </c>
      <c r="K44" s="4">
        <f>IFERROR(INDEX(Model_Pricing!$D:$D,MATCH(1,(Model_Pricing!$A:$A=D44)*(Model_Pricing!$B:$B=E44),0)),"")</f>
        <v/>
      </c>
      <c r="L44" s="4">
        <f>IFERROR(INDEX(Model_Pricing!$E:$E,MATCH(1,(Model_Pricing!$A:$A=D44)*(Model_Pricing!$B:$B=E44),0)),"")</f>
        <v/>
      </c>
      <c r="M44" s="4">
        <f>IF(J44="","",H44/1000000*K44)</f>
        <v/>
      </c>
      <c r="N44" s="4">
        <f>IF(J44="","",I44/1000000*L44)</f>
        <v/>
      </c>
      <c r="O44" s="4">
        <f>IF(J44="","",M44+N44)</f>
        <v/>
      </c>
    </row>
    <row r="45">
      <c r="A45" s="2" t="n"/>
      <c r="H45" s="3" t="n"/>
      <c r="I45" s="3" t="n"/>
      <c r="J45" s="3">
        <f>IF(OR(H45&lt;&gt;"",I45&lt;&gt;""),N(H45)+N(I45),"")</f>
        <v/>
      </c>
      <c r="K45" s="4">
        <f>IFERROR(INDEX(Model_Pricing!$D:$D,MATCH(1,(Model_Pricing!$A:$A=D45)*(Model_Pricing!$B:$B=E45),0)),"")</f>
        <v/>
      </c>
      <c r="L45" s="4">
        <f>IFERROR(INDEX(Model_Pricing!$E:$E,MATCH(1,(Model_Pricing!$A:$A=D45)*(Model_Pricing!$B:$B=E45),0)),"")</f>
        <v/>
      </c>
      <c r="M45" s="4">
        <f>IF(J45="","",H45/1000000*K45)</f>
        <v/>
      </c>
      <c r="N45" s="4">
        <f>IF(J45="","",I45/1000000*L45)</f>
        <v/>
      </c>
      <c r="O45" s="4">
        <f>IF(J45="","",M45+N45)</f>
        <v/>
      </c>
    </row>
    <row r="46">
      <c r="A46" s="2" t="n"/>
      <c r="H46" s="3" t="n"/>
      <c r="I46" s="3" t="n"/>
      <c r="J46" s="3">
        <f>IF(OR(H46&lt;&gt;"",I46&lt;&gt;""),N(H46)+N(I46),"")</f>
        <v/>
      </c>
      <c r="K46" s="4">
        <f>IFERROR(INDEX(Model_Pricing!$D:$D,MATCH(1,(Model_Pricing!$A:$A=D46)*(Model_Pricing!$B:$B=E46),0)),"")</f>
        <v/>
      </c>
      <c r="L46" s="4">
        <f>IFERROR(INDEX(Model_Pricing!$E:$E,MATCH(1,(Model_Pricing!$A:$A=D46)*(Model_Pricing!$B:$B=E46),0)),"")</f>
        <v/>
      </c>
      <c r="M46" s="4">
        <f>IF(J46="","",H46/1000000*K46)</f>
        <v/>
      </c>
      <c r="N46" s="4">
        <f>IF(J46="","",I46/1000000*L46)</f>
        <v/>
      </c>
      <c r="O46" s="4">
        <f>IF(J46="","",M46+N46)</f>
        <v/>
      </c>
    </row>
    <row r="47">
      <c r="A47" s="2" t="n"/>
      <c r="H47" s="3" t="n"/>
      <c r="I47" s="3" t="n"/>
      <c r="J47" s="3">
        <f>IF(OR(H47&lt;&gt;"",I47&lt;&gt;""),N(H47)+N(I47),"")</f>
        <v/>
      </c>
      <c r="K47" s="4">
        <f>IFERROR(INDEX(Model_Pricing!$D:$D,MATCH(1,(Model_Pricing!$A:$A=D47)*(Model_Pricing!$B:$B=E47),0)),"")</f>
        <v/>
      </c>
      <c r="L47" s="4">
        <f>IFERROR(INDEX(Model_Pricing!$E:$E,MATCH(1,(Model_Pricing!$A:$A=D47)*(Model_Pricing!$B:$B=E47),0)),"")</f>
        <v/>
      </c>
      <c r="M47" s="4">
        <f>IF(J47="","",H47/1000000*K47)</f>
        <v/>
      </c>
      <c r="N47" s="4">
        <f>IF(J47="","",I47/1000000*L47)</f>
        <v/>
      </c>
      <c r="O47" s="4">
        <f>IF(J47="","",M47+N47)</f>
        <v/>
      </c>
    </row>
    <row r="48">
      <c r="A48" s="2" t="n"/>
      <c r="H48" s="3" t="n"/>
      <c r="I48" s="3" t="n"/>
      <c r="J48" s="3">
        <f>IF(OR(H48&lt;&gt;"",I48&lt;&gt;""),N(H48)+N(I48),"")</f>
        <v/>
      </c>
      <c r="K48" s="4">
        <f>IFERROR(INDEX(Model_Pricing!$D:$D,MATCH(1,(Model_Pricing!$A:$A=D48)*(Model_Pricing!$B:$B=E48),0)),"")</f>
        <v/>
      </c>
      <c r="L48" s="4">
        <f>IFERROR(INDEX(Model_Pricing!$E:$E,MATCH(1,(Model_Pricing!$A:$A=D48)*(Model_Pricing!$B:$B=E48),0)),"")</f>
        <v/>
      </c>
      <c r="M48" s="4">
        <f>IF(J48="","",H48/1000000*K48)</f>
        <v/>
      </c>
      <c r="N48" s="4">
        <f>IF(J48="","",I48/1000000*L48)</f>
        <v/>
      </c>
      <c r="O48" s="4">
        <f>IF(J48="","",M48+N48)</f>
        <v/>
      </c>
    </row>
    <row r="49">
      <c r="A49" s="2" t="n"/>
      <c r="H49" s="3" t="n"/>
      <c r="I49" s="3" t="n"/>
      <c r="J49" s="3">
        <f>IF(OR(H49&lt;&gt;"",I49&lt;&gt;""),N(H49)+N(I49),"")</f>
        <v/>
      </c>
      <c r="K49" s="4">
        <f>IFERROR(INDEX(Model_Pricing!$D:$D,MATCH(1,(Model_Pricing!$A:$A=D49)*(Model_Pricing!$B:$B=E49),0)),"")</f>
        <v/>
      </c>
      <c r="L49" s="4">
        <f>IFERROR(INDEX(Model_Pricing!$E:$E,MATCH(1,(Model_Pricing!$A:$A=D49)*(Model_Pricing!$B:$B=E49),0)),"")</f>
        <v/>
      </c>
      <c r="M49" s="4">
        <f>IF(J49="","",H49/1000000*K49)</f>
        <v/>
      </c>
      <c r="N49" s="4">
        <f>IF(J49="","",I49/1000000*L49)</f>
        <v/>
      </c>
      <c r="O49" s="4">
        <f>IF(J49="","",M49+N49)</f>
        <v/>
      </c>
    </row>
    <row r="50">
      <c r="A50" s="2" t="n"/>
      <c r="H50" s="3" t="n"/>
      <c r="I50" s="3" t="n"/>
      <c r="J50" s="3">
        <f>IF(OR(H50&lt;&gt;"",I50&lt;&gt;""),N(H50)+N(I50),"")</f>
        <v/>
      </c>
      <c r="K50" s="4">
        <f>IFERROR(INDEX(Model_Pricing!$D:$D,MATCH(1,(Model_Pricing!$A:$A=D50)*(Model_Pricing!$B:$B=E50),0)),"")</f>
        <v/>
      </c>
      <c r="L50" s="4">
        <f>IFERROR(INDEX(Model_Pricing!$E:$E,MATCH(1,(Model_Pricing!$A:$A=D50)*(Model_Pricing!$B:$B=E50),0)),"")</f>
        <v/>
      </c>
      <c r="M50" s="4">
        <f>IF(J50="","",H50/1000000*K50)</f>
        <v/>
      </c>
      <c r="N50" s="4">
        <f>IF(J50="","",I50/1000000*L50)</f>
        <v/>
      </c>
      <c r="O50" s="4">
        <f>IF(J50="","",M50+N50)</f>
        <v/>
      </c>
    </row>
    <row r="51">
      <c r="A51" s="2" t="n"/>
      <c r="H51" s="3" t="n"/>
      <c r="I51" s="3" t="n"/>
      <c r="J51" s="3">
        <f>IF(OR(H51&lt;&gt;"",I51&lt;&gt;""),N(H51)+N(I51),"")</f>
        <v/>
      </c>
      <c r="K51" s="4">
        <f>IFERROR(INDEX(Model_Pricing!$D:$D,MATCH(1,(Model_Pricing!$A:$A=D51)*(Model_Pricing!$B:$B=E51),0)),"")</f>
        <v/>
      </c>
      <c r="L51" s="4">
        <f>IFERROR(INDEX(Model_Pricing!$E:$E,MATCH(1,(Model_Pricing!$A:$A=D51)*(Model_Pricing!$B:$B=E51),0)),"")</f>
        <v/>
      </c>
      <c r="M51" s="4">
        <f>IF(J51="","",H51/1000000*K51)</f>
        <v/>
      </c>
      <c r="N51" s="4">
        <f>IF(J51="","",I51/1000000*L51)</f>
        <v/>
      </c>
      <c r="O51" s="4">
        <f>IF(J51="","",M51+N51)</f>
        <v/>
      </c>
    </row>
    <row r="52">
      <c r="A52" s="2" t="n"/>
      <c r="H52" s="3" t="n"/>
      <c r="I52" s="3" t="n"/>
      <c r="J52" s="3">
        <f>IF(OR(H52&lt;&gt;"",I52&lt;&gt;""),N(H52)+N(I52),"")</f>
        <v/>
      </c>
      <c r="K52" s="4">
        <f>IFERROR(INDEX(Model_Pricing!$D:$D,MATCH(1,(Model_Pricing!$A:$A=D52)*(Model_Pricing!$B:$B=E52),0)),"")</f>
        <v/>
      </c>
      <c r="L52" s="4">
        <f>IFERROR(INDEX(Model_Pricing!$E:$E,MATCH(1,(Model_Pricing!$A:$A=D52)*(Model_Pricing!$B:$B=E52),0)),"")</f>
        <v/>
      </c>
      <c r="M52" s="4">
        <f>IF(J52="","",H52/1000000*K52)</f>
        <v/>
      </c>
      <c r="N52" s="4">
        <f>IF(J52="","",I52/1000000*L52)</f>
        <v/>
      </c>
      <c r="O52" s="4">
        <f>IF(J52="","",M52+N52)</f>
        <v/>
      </c>
    </row>
    <row r="53">
      <c r="A53" s="2" t="n"/>
      <c r="H53" s="3" t="n"/>
      <c r="I53" s="3" t="n"/>
      <c r="J53" s="3">
        <f>IF(OR(H53&lt;&gt;"",I53&lt;&gt;""),N(H53)+N(I53),"")</f>
        <v/>
      </c>
      <c r="K53" s="4">
        <f>IFERROR(INDEX(Model_Pricing!$D:$D,MATCH(1,(Model_Pricing!$A:$A=D53)*(Model_Pricing!$B:$B=E53),0)),"")</f>
        <v/>
      </c>
      <c r="L53" s="4">
        <f>IFERROR(INDEX(Model_Pricing!$E:$E,MATCH(1,(Model_Pricing!$A:$A=D53)*(Model_Pricing!$B:$B=E53),0)),"")</f>
        <v/>
      </c>
      <c r="M53" s="4">
        <f>IF(J53="","",H53/1000000*K53)</f>
        <v/>
      </c>
      <c r="N53" s="4">
        <f>IF(J53="","",I53/1000000*L53)</f>
        <v/>
      </c>
      <c r="O53" s="4">
        <f>IF(J53="","",M53+N53)</f>
        <v/>
      </c>
    </row>
    <row r="54">
      <c r="A54" s="2" t="n"/>
      <c r="H54" s="3" t="n"/>
      <c r="I54" s="3" t="n"/>
      <c r="J54" s="3">
        <f>IF(OR(H54&lt;&gt;"",I54&lt;&gt;""),N(H54)+N(I54),"")</f>
        <v/>
      </c>
      <c r="K54" s="4">
        <f>IFERROR(INDEX(Model_Pricing!$D:$D,MATCH(1,(Model_Pricing!$A:$A=D54)*(Model_Pricing!$B:$B=E54),0)),"")</f>
        <v/>
      </c>
      <c r="L54" s="4">
        <f>IFERROR(INDEX(Model_Pricing!$E:$E,MATCH(1,(Model_Pricing!$A:$A=D54)*(Model_Pricing!$B:$B=E54),0)),"")</f>
        <v/>
      </c>
      <c r="M54" s="4">
        <f>IF(J54="","",H54/1000000*K54)</f>
        <v/>
      </c>
      <c r="N54" s="4">
        <f>IF(J54="","",I54/1000000*L54)</f>
        <v/>
      </c>
      <c r="O54" s="4">
        <f>IF(J54="","",M54+N54)</f>
        <v/>
      </c>
    </row>
    <row r="55">
      <c r="A55" s="2" t="n"/>
      <c r="H55" s="3" t="n"/>
      <c r="I55" s="3" t="n"/>
      <c r="J55" s="3">
        <f>IF(OR(H55&lt;&gt;"",I55&lt;&gt;""),N(H55)+N(I55),"")</f>
        <v/>
      </c>
      <c r="K55" s="4">
        <f>IFERROR(INDEX(Model_Pricing!$D:$D,MATCH(1,(Model_Pricing!$A:$A=D55)*(Model_Pricing!$B:$B=E55),0)),"")</f>
        <v/>
      </c>
      <c r="L55" s="4">
        <f>IFERROR(INDEX(Model_Pricing!$E:$E,MATCH(1,(Model_Pricing!$A:$A=D55)*(Model_Pricing!$B:$B=E55),0)),"")</f>
        <v/>
      </c>
      <c r="M55" s="4">
        <f>IF(J55="","",H55/1000000*K55)</f>
        <v/>
      </c>
      <c r="N55" s="4">
        <f>IF(J55="","",I55/1000000*L55)</f>
        <v/>
      </c>
      <c r="O55" s="4">
        <f>IF(J55="","",M55+N55)</f>
        <v/>
      </c>
    </row>
    <row r="56">
      <c r="A56" s="2" t="n"/>
      <c r="H56" s="3" t="n"/>
      <c r="I56" s="3" t="n"/>
      <c r="J56" s="3">
        <f>IF(OR(H56&lt;&gt;"",I56&lt;&gt;""),N(H56)+N(I56),"")</f>
        <v/>
      </c>
      <c r="K56" s="4">
        <f>IFERROR(INDEX(Model_Pricing!$D:$D,MATCH(1,(Model_Pricing!$A:$A=D56)*(Model_Pricing!$B:$B=E56),0)),"")</f>
        <v/>
      </c>
      <c r="L56" s="4">
        <f>IFERROR(INDEX(Model_Pricing!$E:$E,MATCH(1,(Model_Pricing!$A:$A=D56)*(Model_Pricing!$B:$B=E56),0)),"")</f>
        <v/>
      </c>
      <c r="M56" s="4">
        <f>IF(J56="","",H56/1000000*K56)</f>
        <v/>
      </c>
      <c r="N56" s="4">
        <f>IF(J56="","",I56/1000000*L56)</f>
        <v/>
      </c>
      <c r="O56" s="4">
        <f>IF(J56="","",M56+N56)</f>
        <v/>
      </c>
    </row>
    <row r="57">
      <c r="A57" s="2" t="n"/>
      <c r="H57" s="3" t="n"/>
      <c r="I57" s="3" t="n"/>
      <c r="J57" s="3">
        <f>IF(OR(H57&lt;&gt;"",I57&lt;&gt;""),N(H57)+N(I57),"")</f>
        <v/>
      </c>
      <c r="K57" s="4">
        <f>IFERROR(INDEX(Model_Pricing!$D:$D,MATCH(1,(Model_Pricing!$A:$A=D57)*(Model_Pricing!$B:$B=E57),0)),"")</f>
        <v/>
      </c>
      <c r="L57" s="4">
        <f>IFERROR(INDEX(Model_Pricing!$E:$E,MATCH(1,(Model_Pricing!$A:$A=D57)*(Model_Pricing!$B:$B=E57),0)),"")</f>
        <v/>
      </c>
      <c r="M57" s="4">
        <f>IF(J57="","",H57/1000000*K57)</f>
        <v/>
      </c>
      <c r="N57" s="4">
        <f>IF(J57="","",I57/1000000*L57)</f>
        <v/>
      </c>
      <c r="O57" s="4">
        <f>IF(J57="","",M57+N57)</f>
        <v/>
      </c>
    </row>
    <row r="58">
      <c r="A58" s="2" t="n"/>
      <c r="H58" s="3" t="n"/>
      <c r="I58" s="3" t="n"/>
      <c r="J58" s="3">
        <f>IF(OR(H58&lt;&gt;"",I58&lt;&gt;""),N(H58)+N(I58),"")</f>
        <v/>
      </c>
      <c r="K58" s="4">
        <f>IFERROR(INDEX(Model_Pricing!$D:$D,MATCH(1,(Model_Pricing!$A:$A=D58)*(Model_Pricing!$B:$B=E58),0)),"")</f>
        <v/>
      </c>
      <c r="L58" s="4">
        <f>IFERROR(INDEX(Model_Pricing!$E:$E,MATCH(1,(Model_Pricing!$A:$A=D58)*(Model_Pricing!$B:$B=E58),0)),"")</f>
        <v/>
      </c>
      <c r="M58" s="4">
        <f>IF(J58="","",H58/1000000*K58)</f>
        <v/>
      </c>
      <c r="N58" s="4">
        <f>IF(J58="","",I58/1000000*L58)</f>
        <v/>
      </c>
      <c r="O58" s="4">
        <f>IF(J58="","",M58+N58)</f>
        <v/>
      </c>
    </row>
    <row r="59">
      <c r="A59" s="2" t="n"/>
      <c r="H59" s="3" t="n"/>
      <c r="I59" s="3" t="n"/>
      <c r="J59" s="3">
        <f>IF(OR(H59&lt;&gt;"",I59&lt;&gt;""),N(H59)+N(I59),"")</f>
        <v/>
      </c>
      <c r="K59" s="4">
        <f>IFERROR(INDEX(Model_Pricing!$D:$D,MATCH(1,(Model_Pricing!$A:$A=D59)*(Model_Pricing!$B:$B=E59),0)),"")</f>
        <v/>
      </c>
      <c r="L59" s="4">
        <f>IFERROR(INDEX(Model_Pricing!$E:$E,MATCH(1,(Model_Pricing!$A:$A=D59)*(Model_Pricing!$B:$B=E59),0)),"")</f>
        <v/>
      </c>
      <c r="M59" s="4">
        <f>IF(J59="","",H59/1000000*K59)</f>
        <v/>
      </c>
      <c r="N59" s="4">
        <f>IF(J59="","",I59/1000000*L59)</f>
        <v/>
      </c>
      <c r="O59" s="4">
        <f>IF(J59="","",M59+N59)</f>
        <v/>
      </c>
    </row>
    <row r="60">
      <c r="A60" s="2" t="n"/>
      <c r="H60" s="3" t="n"/>
      <c r="I60" s="3" t="n"/>
      <c r="J60" s="3">
        <f>IF(OR(H60&lt;&gt;"",I60&lt;&gt;""),N(H60)+N(I60),"")</f>
        <v/>
      </c>
      <c r="K60" s="4">
        <f>IFERROR(INDEX(Model_Pricing!$D:$D,MATCH(1,(Model_Pricing!$A:$A=D60)*(Model_Pricing!$B:$B=E60),0)),"")</f>
        <v/>
      </c>
      <c r="L60" s="4">
        <f>IFERROR(INDEX(Model_Pricing!$E:$E,MATCH(1,(Model_Pricing!$A:$A=D60)*(Model_Pricing!$B:$B=E60),0)),"")</f>
        <v/>
      </c>
      <c r="M60" s="4">
        <f>IF(J60="","",H60/1000000*K60)</f>
        <v/>
      </c>
      <c r="N60" s="4">
        <f>IF(J60="","",I60/1000000*L60)</f>
        <v/>
      </c>
      <c r="O60" s="4">
        <f>IF(J60="","",M60+N60)</f>
        <v/>
      </c>
    </row>
    <row r="61">
      <c r="A61" s="2" t="n"/>
      <c r="H61" s="3" t="n"/>
      <c r="I61" s="3" t="n"/>
      <c r="J61" s="3">
        <f>IF(OR(H61&lt;&gt;"",I61&lt;&gt;""),N(H61)+N(I61),"")</f>
        <v/>
      </c>
      <c r="K61" s="4">
        <f>IFERROR(INDEX(Model_Pricing!$D:$D,MATCH(1,(Model_Pricing!$A:$A=D61)*(Model_Pricing!$B:$B=E61),0)),"")</f>
        <v/>
      </c>
      <c r="L61" s="4">
        <f>IFERROR(INDEX(Model_Pricing!$E:$E,MATCH(1,(Model_Pricing!$A:$A=D61)*(Model_Pricing!$B:$B=E61),0)),"")</f>
        <v/>
      </c>
      <c r="M61" s="4">
        <f>IF(J61="","",H61/1000000*K61)</f>
        <v/>
      </c>
      <c r="N61" s="4">
        <f>IF(J61="","",I61/1000000*L61)</f>
        <v/>
      </c>
      <c r="O61" s="4">
        <f>IF(J61="","",M61+N61)</f>
        <v/>
      </c>
    </row>
    <row r="62">
      <c r="A62" s="2" t="n"/>
      <c r="H62" s="3" t="n"/>
      <c r="I62" s="3" t="n"/>
      <c r="J62" s="3">
        <f>IF(OR(H62&lt;&gt;"",I62&lt;&gt;""),N(H62)+N(I62),"")</f>
        <v/>
      </c>
      <c r="K62" s="4">
        <f>IFERROR(INDEX(Model_Pricing!$D:$D,MATCH(1,(Model_Pricing!$A:$A=D62)*(Model_Pricing!$B:$B=E62),0)),"")</f>
        <v/>
      </c>
      <c r="L62" s="4">
        <f>IFERROR(INDEX(Model_Pricing!$E:$E,MATCH(1,(Model_Pricing!$A:$A=D62)*(Model_Pricing!$B:$B=E62),0)),"")</f>
        <v/>
      </c>
      <c r="M62" s="4">
        <f>IF(J62="","",H62/1000000*K62)</f>
        <v/>
      </c>
      <c r="N62" s="4">
        <f>IF(J62="","",I62/1000000*L62)</f>
        <v/>
      </c>
      <c r="O62" s="4">
        <f>IF(J62="","",M62+N62)</f>
        <v/>
      </c>
    </row>
    <row r="63">
      <c r="A63" s="2" t="n"/>
      <c r="H63" s="3" t="n"/>
      <c r="I63" s="3" t="n"/>
      <c r="J63" s="3">
        <f>IF(OR(H63&lt;&gt;"",I63&lt;&gt;""),N(H63)+N(I63),"")</f>
        <v/>
      </c>
      <c r="K63" s="4">
        <f>IFERROR(INDEX(Model_Pricing!$D:$D,MATCH(1,(Model_Pricing!$A:$A=D63)*(Model_Pricing!$B:$B=E63),0)),"")</f>
        <v/>
      </c>
      <c r="L63" s="4">
        <f>IFERROR(INDEX(Model_Pricing!$E:$E,MATCH(1,(Model_Pricing!$A:$A=D63)*(Model_Pricing!$B:$B=E63),0)),"")</f>
        <v/>
      </c>
      <c r="M63" s="4">
        <f>IF(J63="","",H63/1000000*K63)</f>
        <v/>
      </c>
      <c r="N63" s="4">
        <f>IF(J63="","",I63/1000000*L63)</f>
        <v/>
      </c>
      <c r="O63" s="4">
        <f>IF(J63="","",M63+N63)</f>
        <v/>
      </c>
    </row>
    <row r="64">
      <c r="A64" s="2" t="n"/>
      <c r="H64" s="3" t="n"/>
      <c r="I64" s="3" t="n"/>
      <c r="J64" s="3">
        <f>IF(OR(H64&lt;&gt;"",I64&lt;&gt;""),N(H64)+N(I64),"")</f>
        <v/>
      </c>
      <c r="K64" s="4">
        <f>IFERROR(INDEX(Model_Pricing!$D:$D,MATCH(1,(Model_Pricing!$A:$A=D64)*(Model_Pricing!$B:$B=E64),0)),"")</f>
        <v/>
      </c>
      <c r="L64" s="4">
        <f>IFERROR(INDEX(Model_Pricing!$E:$E,MATCH(1,(Model_Pricing!$A:$A=D64)*(Model_Pricing!$B:$B=E64),0)),"")</f>
        <v/>
      </c>
      <c r="M64" s="4">
        <f>IF(J64="","",H64/1000000*K64)</f>
        <v/>
      </c>
      <c r="N64" s="4">
        <f>IF(J64="","",I64/1000000*L64)</f>
        <v/>
      </c>
      <c r="O64" s="4">
        <f>IF(J64="","",M64+N64)</f>
        <v/>
      </c>
    </row>
    <row r="65">
      <c r="A65" s="2" t="n"/>
      <c r="H65" s="3" t="n"/>
      <c r="I65" s="3" t="n"/>
      <c r="J65" s="3">
        <f>IF(OR(H65&lt;&gt;"",I65&lt;&gt;""),N(H65)+N(I65),"")</f>
        <v/>
      </c>
      <c r="K65" s="4">
        <f>IFERROR(INDEX(Model_Pricing!$D:$D,MATCH(1,(Model_Pricing!$A:$A=D65)*(Model_Pricing!$B:$B=E65),0)),"")</f>
        <v/>
      </c>
      <c r="L65" s="4">
        <f>IFERROR(INDEX(Model_Pricing!$E:$E,MATCH(1,(Model_Pricing!$A:$A=D65)*(Model_Pricing!$B:$B=E65),0)),"")</f>
        <v/>
      </c>
      <c r="M65" s="4">
        <f>IF(J65="","",H65/1000000*K65)</f>
        <v/>
      </c>
      <c r="N65" s="4">
        <f>IF(J65="","",I65/1000000*L65)</f>
        <v/>
      </c>
      <c r="O65" s="4">
        <f>IF(J65="","",M65+N65)</f>
        <v/>
      </c>
    </row>
    <row r="66">
      <c r="A66" s="2" t="n"/>
      <c r="H66" s="3" t="n"/>
      <c r="I66" s="3" t="n"/>
      <c r="J66" s="3">
        <f>IF(OR(H66&lt;&gt;"",I66&lt;&gt;""),N(H66)+N(I66),"")</f>
        <v/>
      </c>
      <c r="K66" s="4">
        <f>IFERROR(INDEX(Model_Pricing!$D:$D,MATCH(1,(Model_Pricing!$A:$A=D66)*(Model_Pricing!$B:$B=E66),0)),"")</f>
        <v/>
      </c>
      <c r="L66" s="4">
        <f>IFERROR(INDEX(Model_Pricing!$E:$E,MATCH(1,(Model_Pricing!$A:$A=D66)*(Model_Pricing!$B:$B=E66),0)),"")</f>
        <v/>
      </c>
      <c r="M66" s="4">
        <f>IF(J66="","",H66/1000000*K66)</f>
        <v/>
      </c>
      <c r="N66" s="4">
        <f>IF(J66="","",I66/1000000*L66)</f>
        <v/>
      </c>
      <c r="O66" s="4">
        <f>IF(J66="","",M66+N66)</f>
        <v/>
      </c>
    </row>
    <row r="67">
      <c r="A67" s="2" t="n"/>
      <c r="H67" s="3" t="n"/>
      <c r="I67" s="3" t="n"/>
      <c r="J67" s="3">
        <f>IF(OR(H67&lt;&gt;"",I67&lt;&gt;""),N(H67)+N(I67),"")</f>
        <v/>
      </c>
      <c r="K67" s="4">
        <f>IFERROR(INDEX(Model_Pricing!$D:$D,MATCH(1,(Model_Pricing!$A:$A=D67)*(Model_Pricing!$B:$B=E67),0)),"")</f>
        <v/>
      </c>
      <c r="L67" s="4">
        <f>IFERROR(INDEX(Model_Pricing!$E:$E,MATCH(1,(Model_Pricing!$A:$A=D67)*(Model_Pricing!$B:$B=E67),0)),"")</f>
        <v/>
      </c>
      <c r="M67" s="4">
        <f>IF(J67="","",H67/1000000*K67)</f>
        <v/>
      </c>
      <c r="N67" s="4">
        <f>IF(J67="","",I67/1000000*L67)</f>
        <v/>
      </c>
      <c r="O67" s="4">
        <f>IF(J67="","",M67+N67)</f>
        <v/>
      </c>
    </row>
    <row r="68">
      <c r="A68" s="2" t="n"/>
      <c r="H68" s="3" t="n"/>
      <c r="I68" s="3" t="n"/>
      <c r="J68" s="3">
        <f>IF(OR(H68&lt;&gt;"",I68&lt;&gt;""),N(H68)+N(I68),"")</f>
        <v/>
      </c>
      <c r="K68" s="4">
        <f>IFERROR(INDEX(Model_Pricing!$D:$D,MATCH(1,(Model_Pricing!$A:$A=D68)*(Model_Pricing!$B:$B=E68),0)),"")</f>
        <v/>
      </c>
      <c r="L68" s="4">
        <f>IFERROR(INDEX(Model_Pricing!$E:$E,MATCH(1,(Model_Pricing!$A:$A=D68)*(Model_Pricing!$B:$B=E68),0)),"")</f>
        <v/>
      </c>
      <c r="M68" s="4">
        <f>IF(J68="","",H68/1000000*K68)</f>
        <v/>
      </c>
      <c r="N68" s="4">
        <f>IF(J68="","",I68/1000000*L68)</f>
        <v/>
      </c>
      <c r="O68" s="4">
        <f>IF(J68="","",M68+N68)</f>
        <v/>
      </c>
    </row>
    <row r="69">
      <c r="A69" s="2" t="n"/>
      <c r="H69" s="3" t="n"/>
      <c r="I69" s="3" t="n"/>
      <c r="J69" s="3">
        <f>IF(OR(H69&lt;&gt;"",I69&lt;&gt;""),N(H69)+N(I69),"")</f>
        <v/>
      </c>
      <c r="K69" s="4">
        <f>IFERROR(INDEX(Model_Pricing!$D:$D,MATCH(1,(Model_Pricing!$A:$A=D69)*(Model_Pricing!$B:$B=E69),0)),"")</f>
        <v/>
      </c>
      <c r="L69" s="4">
        <f>IFERROR(INDEX(Model_Pricing!$E:$E,MATCH(1,(Model_Pricing!$A:$A=D69)*(Model_Pricing!$B:$B=E69),0)),"")</f>
        <v/>
      </c>
      <c r="M69" s="4">
        <f>IF(J69="","",H69/1000000*K69)</f>
        <v/>
      </c>
      <c r="N69" s="4">
        <f>IF(J69="","",I69/1000000*L69)</f>
        <v/>
      </c>
      <c r="O69" s="4">
        <f>IF(J69="","",M69+N69)</f>
        <v/>
      </c>
    </row>
    <row r="70">
      <c r="A70" s="2" t="n"/>
      <c r="H70" s="3" t="n"/>
      <c r="I70" s="3" t="n"/>
      <c r="J70" s="3">
        <f>IF(OR(H70&lt;&gt;"",I70&lt;&gt;""),N(H70)+N(I70),"")</f>
        <v/>
      </c>
      <c r="K70" s="4">
        <f>IFERROR(INDEX(Model_Pricing!$D:$D,MATCH(1,(Model_Pricing!$A:$A=D70)*(Model_Pricing!$B:$B=E70),0)),"")</f>
        <v/>
      </c>
      <c r="L70" s="4">
        <f>IFERROR(INDEX(Model_Pricing!$E:$E,MATCH(1,(Model_Pricing!$A:$A=D70)*(Model_Pricing!$B:$B=E70),0)),"")</f>
        <v/>
      </c>
      <c r="M70" s="4">
        <f>IF(J70="","",H70/1000000*K70)</f>
        <v/>
      </c>
      <c r="N70" s="4">
        <f>IF(J70="","",I70/1000000*L70)</f>
        <v/>
      </c>
      <c r="O70" s="4">
        <f>IF(J70="","",M70+N70)</f>
        <v/>
      </c>
    </row>
    <row r="71">
      <c r="A71" s="2" t="n"/>
      <c r="H71" s="3" t="n"/>
      <c r="I71" s="3" t="n"/>
      <c r="J71" s="3">
        <f>IF(OR(H71&lt;&gt;"",I71&lt;&gt;""),N(H71)+N(I71),"")</f>
        <v/>
      </c>
      <c r="K71" s="4">
        <f>IFERROR(INDEX(Model_Pricing!$D:$D,MATCH(1,(Model_Pricing!$A:$A=D71)*(Model_Pricing!$B:$B=E71),0)),"")</f>
        <v/>
      </c>
      <c r="L71" s="4">
        <f>IFERROR(INDEX(Model_Pricing!$E:$E,MATCH(1,(Model_Pricing!$A:$A=D71)*(Model_Pricing!$B:$B=E71),0)),"")</f>
        <v/>
      </c>
      <c r="M71" s="4">
        <f>IF(J71="","",H71/1000000*K71)</f>
        <v/>
      </c>
      <c r="N71" s="4">
        <f>IF(J71="","",I71/1000000*L71)</f>
        <v/>
      </c>
      <c r="O71" s="4">
        <f>IF(J71="","",M71+N71)</f>
        <v/>
      </c>
    </row>
    <row r="72">
      <c r="A72" s="2" t="n"/>
      <c r="H72" s="3" t="n"/>
      <c r="I72" s="3" t="n"/>
      <c r="J72" s="3">
        <f>IF(OR(H72&lt;&gt;"",I72&lt;&gt;""),N(H72)+N(I72),"")</f>
        <v/>
      </c>
      <c r="K72" s="4">
        <f>IFERROR(INDEX(Model_Pricing!$D:$D,MATCH(1,(Model_Pricing!$A:$A=D72)*(Model_Pricing!$B:$B=E72),0)),"")</f>
        <v/>
      </c>
      <c r="L72" s="4">
        <f>IFERROR(INDEX(Model_Pricing!$E:$E,MATCH(1,(Model_Pricing!$A:$A=D72)*(Model_Pricing!$B:$B=E72),0)),"")</f>
        <v/>
      </c>
      <c r="M72" s="4">
        <f>IF(J72="","",H72/1000000*K72)</f>
        <v/>
      </c>
      <c r="N72" s="4">
        <f>IF(J72="","",I72/1000000*L72)</f>
        <v/>
      </c>
      <c r="O72" s="4">
        <f>IF(J72="","",M72+N72)</f>
        <v/>
      </c>
    </row>
    <row r="73">
      <c r="A73" s="2" t="n"/>
      <c r="H73" s="3" t="n"/>
      <c r="I73" s="3" t="n"/>
      <c r="J73" s="3">
        <f>IF(OR(H73&lt;&gt;"",I73&lt;&gt;""),N(H73)+N(I73),"")</f>
        <v/>
      </c>
      <c r="K73" s="4">
        <f>IFERROR(INDEX(Model_Pricing!$D:$D,MATCH(1,(Model_Pricing!$A:$A=D73)*(Model_Pricing!$B:$B=E73),0)),"")</f>
        <v/>
      </c>
      <c r="L73" s="4">
        <f>IFERROR(INDEX(Model_Pricing!$E:$E,MATCH(1,(Model_Pricing!$A:$A=D73)*(Model_Pricing!$B:$B=E73),0)),"")</f>
        <v/>
      </c>
      <c r="M73" s="4">
        <f>IF(J73="","",H73/1000000*K73)</f>
        <v/>
      </c>
      <c r="N73" s="4">
        <f>IF(J73="","",I73/1000000*L73)</f>
        <v/>
      </c>
      <c r="O73" s="4">
        <f>IF(J73="","",M73+N73)</f>
        <v/>
      </c>
    </row>
    <row r="74">
      <c r="A74" s="2" t="n"/>
      <c r="H74" s="3" t="n"/>
      <c r="I74" s="3" t="n"/>
      <c r="J74" s="3">
        <f>IF(OR(H74&lt;&gt;"",I74&lt;&gt;""),N(H74)+N(I74),"")</f>
        <v/>
      </c>
      <c r="K74" s="4">
        <f>IFERROR(INDEX(Model_Pricing!$D:$D,MATCH(1,(Model_Pricing!$A:$A=D74)*(Model_Pricing!$B:$B=E74),0)),"")</f>
        <v/>
      </c>
      <c r="L74" s="4">
        <f>IFERROR(INDEX(Model_Pricing!$E:$E,MATCH(1,(Model_Pricing!$A:$A=D74)*(Model_Pricing!$B:$B=E74),0)),"")</f>
        <v/>
      </c>
      <c r="M74" s="4">
        <f>IF(J74="","",H74/1000000*K74)</f>
        <v/>
      </c>
      <c r="N74" s="4">
        <f>IF(J74="","",I74/1000000*L74)</f>
        <v/>
      </c>
      <c r="O74" s="4">
        <f>IF(J74="","",M74+N74)</f>
        <v/>
      </c>
    </row>
    <row r="75">
      <c r="A75" s="2" t="n"/>
      <c r="H75" s="3" t="n"/>
      <c r="I75" s="3" t="n"/>
      <c r="J75" s="3">
        <f>IF(OR(H75&lt;&gt;"",I75&lt;&gt;""),N(H75)+N(I75),"")</f>
        <v/>
      </c>
      <c r="K75" s="4">
        <f>IFERROR(INDEX(Model_Pricing!$D:$D,MATCH(1,(Model_Pricing!$A:$A=D75)*(Model_Pricing!$B:$B=E75),0)),"")</f>
        <v/>
      </c>
      <c r="L75" s="4">
        <f>IFERROR(INDEX(Model_Pricing!$E:$E,MATCH(1,(Model_Pricing!$A:$A=D75)*(Model_Pricing!$B:$B=E75),0)),"")</f>
        <v/>
      </c>
      <c r="M75" s="4">
        <f>IF(J75="","",H75/1000000*K75)</f>
        <v/>
      </c>
      <c r="N75" s="4">
        <f>IF(J75="","",I75/1000000*L75)</f>
        <v/>
      </c>
      <c r="O75" s="4">
        <f>IF(J75="","",M75+N75)</f>
        <v/>
      </c>
    </row>
    <row r="76">
      <c r="A76" s="2" t="n"/>
      <c r="H76" s="3" t="n"/>
      <c r="I76" s="3" t="n"/>
      <c r="J76" s="3">
        <f>IF(OR(H76&lt;&gt;"",I76&lt;&gt;""),N(H76)+N(I76),"")</f>
        <v/>
      </c>
      <c r="K76" s="4">
        <f>IFERROR(INDEX(Model_Pricing!$D:$D,MATCH(1,(Model_Pricing!$A:$A=D76)*(Model_Pricing!$B:$B=E76),0)),"")</f>
        <v/>
      </c>
      <c r="L76" s="4">
        <f>IFERROR(INDEX(Model_Pricing!$E:$E,MATCH(1,(Model_Pricing!$A:$A=D76)*(Model_Pricing!$B:$B=E76),0)),"")</f>
        <v/>
      </c>
      <c r="M76" s="4">
        <f>IF(J76="","",H76/1000000*K76)</f>
        <v/>
      </c>
      <c r="N76" s="4">
        <f>IF(J76="","",I76/1000000*L76)</f>
        <v/>
      </c>
      <c r="O76" s="4">
        <f>IF(J76="","",M76+N76)</f>
        <v/>
      </c>
    </row>
    <row r="77">
      <c r="A77" s="2" t="n"/>
      <c r="H77" s="3" t="n"/>
      <c r="I77" s="3" t="n"/>
      <c r="J77" s="3">
        <f>IF(OR(H77&lt;&gt;"",I77&lt;&gt;""),N(H77)+N(I77),"")</f>
        <v/>
      </c>
      <c r="K77" s="4">
        <f>IFERROR(INDEX(Model_Pricing!$D:$D,MATCH(1,(Model_Pricing!$A:$A=D77)*(Model_Pricing!$B:$B=E77),0)),"")</f>
        <v/>
      </c>
      <c r="L77" s="4">
        <f>IFERROR(INDEX(Model_Pricing!$E:$E,MATCH(1,(Model_Pricing!$A:$A=D77)*(Model_Pricing!$B:$B=E77),0)),"")</f>
        <v/>
      </c>
      <c r="M77" s="4">
        <f>IF(J77="","",H77/1000000*K77)</f>
        <v/>
      </c>
      <c r="N77" s="4">
        <f>IF(J77="","",I77/1000000*L77)</f>
        <v/>
      </c>
      <c r="O77" s="4">
        <f>IF(J77="","",M77+N77)</f>
        <v/>
      </c>
    </row>
    <row r="78">
      <c r="A78" s="2" t="n"/>
      <c r="H78" s="3" t="n"/>
      <c r="I78" s="3" t="n"/>
      <c r="J78" s="3">
        <f>IF(OR(H78&lt;&gt;"",I78&lt;&gt;""),N(H78)+N(I78),"")</f>
        <v/>
      </c>
      <c r="K78" s="4">
        <f>IFERROR(INDEX(Model_Pricing!$D:$D,MATCH(1,(Model_Pricing!$A:$A=D78)*(Model_Pricing!$B:$B=E78),0)),"")</f>
        <v/>
      </c>
      <c r="L78" s="4">
        <f>IFERROR(INDEX(Model_Pricing!$E:$E,MATCH(1,(Model_Pricing!$A:$A=D78)*(Model_Pricing!$B:$B=E78),0)),"")</f>
        <v/>
      </c>
      <c r="M78" s="4">
        <f>IF(J78="","",H78/1000000*K78)</f>
        <v/>
      </c>
      <c r="N78" s="4">
        <f>IF(J78="","",I78/1000000*L78)</f>
        <v/>
      </c>
      <c r="O78" s="4">
        <f>IF(J78="","",M78+N78)</f>
        <v/>
      </c>
    </row>
    <row r="79">
      <c r="A79" s="2" t="n"/>
      <c r="H79" s="3" t="n"/>
      <c r="I79" s="3" t="n"/>
      <c r="J79" s="3">
        <f>IF(OR(H79&lt;&gt;"",I79&lt;&gt;""),N(H79)+N(I79),"")</f>
        <v/>
      </c>
      <c r="K79" s="4">
        <f>IFERROR(INDEX(Model_Pricing!$D:$D,MATCH(1,(Model_Pricing!$A:$A=D79)*(Model_Pricing!$B:$B=E79),0)),"")</f>
        <v/>
      </c>
      <c r="L79" s="4">
        <f>IFERROR(INDEX(Model_Pricing!$E:$E,MATCH(1,(Model_Pricing!$A:$A=D79)*(Model_Pricing!$B:$B=E79),0)),"")</f>
        <v/>
      </c>
      <c r="M79" s="4">
        <f>IF(J79="","",H79/1000000*K79)</f>
        <v/>
      </c>
      <c r="N79" s="4">
        <f>IF(J79="","",I79/1000000*L79)</f>
        <v/>
      </c>
      <c r="O79" s="4">
        <f>IF(J79="","",M79+N79)</f>
        <v/>
      </c>
    </row>
    <row r="80">
      <c r="A80" s="2" t="n"/>
      <c r="H80" s="3" t="n"/>
      <c r="I80" s="3" t="n"/>
      <c r="J80" s="3">
        <f>IF(OR(H80&lt;&gt;"",I80&lt;&gt;""),N(H80)+N(I80),"")</f>
        <v/>
      </c>
      <c r="K80" s="4">
        <f>IFERROR(INDEX(Model_Pricing!$D:$D,MATCH(1,(Model_Pricing!$A:$A=D80)*(Model_Pricing!$B:$B=E80),0)),"")</f>
        <v/>
      </c>
      <c r="L80" s="4">
        <f>IFERROR(INDEX(Model_Pricing!$E:$E,MATCH(1,(Model_Pricing!$A:$A=D80)*(Model_Pricing!$B:$B=E80),0)),"")</f>
        <v/>
      </c>
      <c r="M80" s="4">
        <f>IF(J80="","",H80/1000000*K80)</f>
        <v/>
      </c>
      <c r="N80" s="4">
        <f>IF(J80="","",I80/1000000*L80)</f>
        <v/>
      </c>
      <c r="O80" s="4">
        <f>IF(J80="","",M80+N80)</f>
        <v/>
      </c>
    </row>
    <row r="81">
      <c r="A81" s="2" t="n"/>
      <c r="H81" s="3" t="n"/>
      <c r="I81" s="3" t="n"/>
      <c r="J81" s="3">
        <f>IF(OR(H81&lt;&gt;"",I81&lt;&gt;""),N(H81)+N(I81),"")</f>
        <v/>
      </c>
      <c r="K81" s="4">
        <f>IFERROR(INDEX(Model_Pricing!$D:$D,MATCH(1,(Model_Pricing!$A:$A=D81)*(Model_Pricing!$B:$B=E81),0)),"")</f>
        <v/>
      </c>
      <c r="L81" s="4">
        <f>IFERROR(INDEX(Model_Pricing!$E:$E,MATCH(1,(Model_Pricing!$A:$A=D81)*(Model_Pricing!$B:$B=E81),0)),"")</f>
        <v/>
      </c>
      <c r="M81" s="4">
        <f>IF(J81="","",H81/1000000*K81)</f>
        <v/>
      </c>
      <c r="N81" s="4">
        <f>IF(J81="","",I81/1000000*L81)</f>
        <v/>
      </c>
      <c r="O81" s="4">
        <f>IF(J81="","",M81+N81)</f>
        <v/>
      </c>
    </row>
    <row r="82">
      <c r="A82" s="2" t="n"/>
      <c r="H82" s="3" t="n"/>
      <c r="I82" s="3" t="n"/>
      <c r="J82" s="3">
        <f>IF(OR(H82&lt;&gt;"",I82&lt;&gt;""),N(H82)+N(I82),"")</f>
        <v/>
      </c>
      <c r="K82" s="4">
        <f>IFERROR(INDEX(Model_Pricing!$D:$D,MATCH(1,(Model_Pricing!$A:$A=D82)*(Model_Pricing!$B:$B=E82),0)),"")</f>
        <v/>
      </c>
      <c r="L82" s="4">
        <f>IFERROR(INDEX(Model_Pricing!$E:$E,MATCH(1,(Model_Pricing!$A:$A=D82)*(Model_Pricing!$B:$B=E82),0)),"")</f>
        <v/>
      </c>
      <c r="M82" s="4">
        <f>IF(J82="","",H82/1000000*K82)</f>
        <v/>
      </c>
      <c r="N82" s="4">
        <f>IF(J82="","",I82/1000000*L82)</f>
        <v/>
      </c>
      <c r="O82" s="4">
        <f>IF(J82="","",M82+N82)</f>
        <v/>
      </c>
    </row>
    <row r="83">
      <c r="A83" s="2" t="n"/>
      <c r="H83" s="3" t="n"/>
      <c r="I83" s="3" t="n"/>
      <c r="J83" s="3">
        <f>IF(OR(H83&lt;&gt;"",I83&lt;&gt;""),N(H83)+N(I83),"")</f>
        <v/>
      </c>
      <c r="K83" s="4">
        <f>IFERROR(INDEX(Model_Pricing!$D:$D,MATCH(1,(Model_Pricing!$A:$A=D83)*(Model_Pricing!$B:$B=E83),0)),"")</f>
        <v/>
      </c>
      <c r="L83" s="4">
        <f>IFERROR(INDEX(Model_Pricing!$E:$E,MATCH(1,(Model_Pricing!$A:$A=D83)*(Model_Pricing!$B:$B=E83),0)),"")</f>
        <v/>
      </c>
      <c r="M83" s="4">
        <f>IF(J83="","",H83/1000000*K83)</f>
        <v/>
      </c>
      <c r="N83" s="4">
        <f>IF(J83="","",I83/1000000*L83)</f>
        <v/>
      </c>
      <c r="O83" s="4">
        <f>IF(J83="","",M83+N83)</f>
        <v/>
      </c>
    </row>
    <row r="84">
      <c r="A84" s="2" t="n"/>
      <c r="H84" s="3" t="n"/>
      <c r="I84" s="3" t="n"/>
      <c r="J84" s="3">
        <f>IF(OR(H84&lt;&gt;"",I84&lt;&gt;""),N(H84)+N(I84),"")</f>
        <v/>
      </c>
      <c r="K84" s="4">
        <f>IFERROR(INDEX(Model_Pricing!$D:$D,MATCH(1,(Model_Pricing!$A:$A=D84)*(Model_Pricing!$B:$B=E84),0)),"")</f>
        <v/>
      </c>
      <c r="L84" s="4">
        <f>IFERROR(INDEX(Model_Pricing!$E:$E,MATCH(1,(Model_Pricing!$A:$A=D84)*(Model_Pricing!$B:$B=E84),0)),"")</f>
        <v/>
      </c>
      <c r="M84" s="4">
        <f>IF(J84="","",H84/1000000*K84)</f>
        <v/>
      </c>
      <c r="N84" s="4">
        <f>IF(J84="","",I84/1000000*L84)</f>
        <v/>
      </c>
      <c r="O84" s="4">
        <f>IF(J84="","",M84+N84)</f>
        <v/>
      </c>
    </row>
    <row r="85">
      <c r="A85" s="2" t="n"/>
      <c r="H85" s="3" t="n"/>
      <c r="I85" s="3" t="n"/>
      <c r="J85" s="3">
        <f>IF(OR(H85&lt;&gt;"",I85&lt;&gt;""),N(H85)+N(I85),"")</f>
        <v/>
      </c>
      <c r="K85" s="4">
        <f>IFERROR(INDEX(Model_Pricing!$D:$D,MATCH(1,(Model_Pricing!$A:$A=D85)*(Model_Pricing!$B:$B=E85),0)),"")</f>
        <v/>
      </c>
      <c r="L85" s="4">
        <f>IFERROR(INDEX(Model_Pricing!$E:$E,MATCH(1,(Model_Pricing!$A:$A=D85)*(Model_Pricing!$B:$B=E85),0)),"")</f>
        <v/>
      </c>
      <c r="M85" s="4">
        <f>IF(J85="","",H85/1000000*K85)</f>
        <v/>
      </c>
      <c r="N85" s="4">
        <f>IF(J85="","",I85/1000000*L85)</f>
        <v/>
      </c>
      <c r="O85" s="4">
        <f>IF(J85="","",M85+N85)</f>
        <v/>
      </c>
    </row>
    <row r="86">
      <c r="A86" s="2" t="n"/>
      <c r="H86" s="3" t="n"/>
      <c r="I86" s="3" t="n"/>
      <c r="J86" s="3">
        <f>IF(OR(H86&lt;&gt;"",I86&lt;&gt;""),N(H86)+N(I86),"")</f>
        <v/>
      </c>
      <c r="K86" s="4">
        <f>IFERROR(INDEX(Model_Pricing!$D:$D,MATCH(1,(Model_Pricing!$A:$A=D86)*(Model_Pricing!$B:$B=E86),0)),"")</f>
        <v/>
      </c>
      <c r="L86" s="4">
        <f>IFERROR(INDEX(Model_Pricing!$E:$E,MATCH(1,(Model_Pricing!$A:$A=D86)*(Model_Pricing!$B:$B=E86),0)),"")</f>
        <v/>
      </c>
      <c r="M86" s="4">
        <f>IF(J86="","",H86/1000000*K86)</f>
        <v/>
      </c>
      <c r="N86" s="4">
        <f>IF(J86="","",I86/1000000*L86)</f>
        <v/>
      </c>
      <c r="O86" s="4">
        <f>IF(J86="","",M86+N86)</f>
        <v/>
      </c>
    </row>
    <row r="87">
      <c r="A87" s="2" t="n"/>
      <c r="H87" s="3" t="n"/>
      <c r="I87" s="3" t="n"/>
      <c r="J87" s="3">
        <f>IF(OR(H87&lt;&gt;"",I87&lt;&gt;""),N(H87)+N(I87),"")</f>
        <v/>
      </c>
      <c r="K87" s="4">
        <f>IFERROR(INDEX(Model_Pricing!$D:$D,MATCH(1,(Model_Pricing!$A:$A=D87)*(Model_Pricing!$B:$B=E87),0)),"")</f>
        <v/>
      </c>
      <c r="L87" s="4">
        <f>IFERROR(INDEX(Model_Pricing!$E:$E,MATCH(1,(Model_Pricing!$A:$A=D87)*(Model_Pricing!$B:$B=E87),0)),"")</f>
        <v/>
      </c>
      <c r="M87" s="4">
        <f>IF(J87="","",H87/1000000*K87)</f>
        <v/>
      </c>
      <c r="N87" s="4">
        <f>IF(J87="","",I87/1000000*L87)</f>
        <v/>
      </c>
      <c r="O87" s="4">
        <f>IF(J87="","",M87+N87)</f>
        <v/>
      </c>
    </row>
    <row r="88">
      <c r="A88" s="2" t="n"/>
      <c r="H88" s="3" t="n"/>
      <c r="I88" s="3" t="n"/>
      <c r="J88" s="3">
        <f>IF(OR(H88&lt;&gt;"",I88&lt;&gt;""),N(H88)+N(I88),"")</f>
        <v/>
      </c>
      <c r="K88" s="4">
        <f>IFERROR(INDEX(Model_Pricing!$D:$D,MATCH(1,(Model_Pricing!$A:$A=D88)*(Model_Pricing!$B:$B=E88),0)),"")</f>
        <v/>
      </c>
      <c r="L88" s="4">
        <f>IFERROR(INDEX(Model_Pricing!$E:$E,MATCH(1,(Model_Pricing!$A:$A=D88)*(Model_Pricing!$B:$B=E88),0)),"")</f>
        <v/>
      </c>
      <c r="M88" s="4">
        <f>IF(J88="","",H88/1000000*K88)</f>
        <v/>
      </c>
      <c r="N88" s="4">
        <f>IF(J88="","",I88/1000000*L88)</f>
        <v/>
      </c>
      <c r="O88" s="4">
        <f>IF(J88="","",M88+N88)</f>
        <v/>
      </c>
    </row>
    <row r="89">
      <c r="A89" s="2" t="n"/>
      <c r="H89" s="3" t="n"/>
      <c r="I89" s="3" t="n"/>
      <c r="J89" s="3">
        <f>IF(OR(H89&lt;&gt;"",I89&lt;&gt;""),N(H89)+N(I89),"")</f>
        <v/>
      </c>
      <c r="K89" s="4">
        <f>IFERROR(INDEX(Model_Pricing!$D:$D,MATCH(1,(Model_Pricing!$A:$A=D89)*(Model_Pricing!$B:$B=E89),0)),"")</f>
        <v/>
      </c>
      <c r="L89" s="4">
        <f>IFERROR(INDEX(Model_Pricing!$E:$E,MATCH(1,(Model_Pricing!$A:$A=D89)*(Model_Pricing!$B:$B=E89),0)),"")</f>
        <v/>
      </c>
      <c r="M89" s="4">
        <f>IF(J89="","",H89/1000000*K89)</f>
        <v/>
      </c>
      <c r="N89" s="4">
        <f>IF(J89="","",I89/1000000*L89)</f>
        <v/>
      </c>
      <c r="O89" s="4">
        <f>IF(J89="","",M89+N89)</f>
        <v/>
      </c>
    </row>
    <row r="90">
      <c r="A90" s="2" t="n"/>
      <c r="H90" s="3" t="n"/>
      <c r="I90" s="3" t="n"/>
      <c r="J90" s="3">
        <f>IF(OR(H90&lt;&gt;"",I90&lt;&gt;""),N(H90)+N(I90),"")</f>
        <v/>
      </c>
      <c r="K90" s="4">
        <f>IFERROR(INDEX(Model_Pricing!$D:$D,MATCH(1,(Model_Pricing!$A:$A=D90)*(Model_Pricing!$B:$B=E90),0)),"")</f>
        <v/>
      </c>
      <c r="L90" s="4">
        <f>IFERROR(INDEX(Model_Pricing!$E:$E,MATCH(1,(Model_Pricing!$A:$A=D90)*(Model_Pricing!$B:$B=E90),0)),"")</f>
        <v/>
      </c>
      <c r="M90" s="4">
        <f>IF(J90="","",H90/1000000*K90)</f>
        <v/>
      </c>
      <c r="N90" s="4">
        <f>IF(J90="","",I90/1000000*L90)</f>
        <v/>
      </c>
      <c r="O90" s="4">
        <f>IF(J90="","",M90+N90)</f>
        <v/>
      </c>
    </row>
    <row r="91">
      <c r="A91" s="2" t="n"/>
      <c r="H91" s="3" t="n"/>
      <c r="I91" s="3" t="n"/>
      <c r="J91" s="3">
        <f>IF(OR(H91&lt;&gt;"",I91&lt;&gt;""),N(H91)+N(I91),"")</f>
        <v/>
      </c>
      <c r="K91" s="4">
        <f>IFERROR(INDEX(Model_Pricing!$D:$D,MATCH(1,(Model_Pricing!$A:$A=D91)*(Model_Pricing!$B:$B=E91),0)),"")</f>
        <v/>
      </c>
      <c r="L91" s="4">
        <f>IFERROR(INDEX(Model_Pricing!$E:$E,MATCH(1,(Model_Pricing!$A:$A=D91)*(Model_Pricing!$B:$B=E91),0)),"")</f>
        <v/>
      </c>
      <c r="M91" s="4">
        <f>IF(J91="","",H91/1000000*K91)</f>
        <v/>
      </c>
      <c r="N91" s="4">
        <f>IF(J91="","",I91/1000000*L91)</f>
        <v/>
      </c>
      <c r="O91" s="4">
        <f>IF(J91="","",M91+N91)</f>
        <v/>
      </c>
    </row>
    <row r="92">
      <c r="A92" s="2" t="n"/>
      <c r="H92" s="3" t="n"/>
      <c r="I92" s="3" t="n"/>
      <c r="J92" s="3">
        <f>IF(OR(H92&lt;&gt;"",I92&lt;&gt;""),N(H92)+N(I92),"")</f>
        <v/>
      </c>
      <c r="K92" s="4">
        <f>IFERROR(INDEX(Model_Pricing!$D:$D,MATCH(1,(Model_Pricing!$A:$A=D92)*(Model_Pricing!$B:$B=E92),0)),"")</f>
        <v/>
      </c>
      <c r="L92" s="4">
        <f>IFERROR(INDEX(Model_Pricing!$E:$E,MATCH(1,(Model_Pricing!$A:$A=D92)*(Model_Pricing!$B:$B=E92),0)),"")</f>
        <v/>
      </c>
      <c r="M92" s="4">
        <f>IF(J92="","",H92/1000000*K92)</f>
        <v/>
      </c>
      <c r="N92" s="4">
        <f>IF(J92="","",I92/1000000*L92)</f>
        <v/>
      </c>
      <c r="O92" s="4">
        <f>IF(J92="","",M92+N92)</f>
        <v/>
      </c>
    </row>
    <row r="93">
      <c r="A93" s="2" t="n"/>
      <c r="H93" s="3" t="n"/>
      <c r="I93" s="3" t="n"/>
      <c r="J93" s="3">
        <f>IF(OR(H93&lt;&gt;"",I93&lt;&gt;""),N(H93)+N(I93),"")</f>
        <v/>
      </c>
      <c r="K93" s="4">
        <f>IFERROR(INDEX(Model_Pricing!$D:$D,MATCH(1,(Model_Pricing!$A:$A=D93)*(Model_Pricing!$B:$B=E93),0)),"")</f>
        <v/>
      </c>
      <c r="L93" s="4">
        <f>IFERROR(INDEX(Model_Pricing!$E:$E,MATCH(1,(Model_Pricing!$A:$A=D93)*(Model_Pricing!$B:$B=E93),0)),"")</f>
        <v/>
      </c>
      <c r="M93" s="4">
        <f>IF(J93="","",H93/1000000*K93)</f>
        <v/>
      </c>
      <c r="N93" s="4">
        <f>IF(J93="","",I93/1000000*L93)</f>
        <v/>
      </c>
      <c r="O93" s="4">
        <f>IF(J93="","",M93+N93)</f>
        <v/>
      </c>
    </row>
    <row r="94">
      <c r="A94" s="2" t="n"/>
      <c r="H94" s="3" t="n"/>
      <c r="I94" s="3" t="n"/>
      <c r="J94" s="3">
        <f>IF(OR(H94&lt;&gt;"",I94&lt;&gt;""),N(H94)+N(I94),"")</f>
        <v/>
      </c>
      <c r="K94" s="4">
        <f>IFERROR(INDEX(Model_Pricing!$D:$D,MATCH(1,(Model_Pricing!$A:$A=D94)*(Model_Pricing!$B:$B=E94),0)),"")</f>
        <v/>
      </c>
      <c r="L94" s="4">
        <f>IFERROR(INDEX(Model_Pricing!$E:$E,MATCH(1,(Model_Pricing!$A:$A=D94)*(Model_Pricing!$B:$B=E94),0)),"")</f>
        <v/>
      </c>
      <c r="M94" s="4">
        <f>IF(J94="","",H94/1000000*K94)</f>
        <v/>
      </c>
      <c r="N94" s="4">
        <f>IF(J94="","",I94/1000000*L94)</f>
        <v/>
      </c>
      <c r="O94" s="4">
        <f>IF(J94="","",M94+N94)</f>
        <v/>
      </c>
    </row>
    <row r="95">
      <c r="A95" s="2" t="n"/>
      <c r="H95" s="3" t="n"/>
      <c r="I95" s="3" t="n"/>
      <c r="J95" s="3">
        <f>IF(OR(H95&lt;&gt;"",I95&lt;&gt;""),N(H95)+N(I95),"")</f>
        <v/>
      </c>
      <c r="K95" s="4">
        <f>IFERROR(INDEX(Model_Pricing!$D:$D,MATCH(1,(Model_Pricing!$A:$A=D95)*(Model_Pricing!$B:$B=E95),0)),"")</f>
        <v/>
      </c>
      <c r="L95" s="4">
        <f>IFERROR(INDEX(Model_Pricing!$E:$E,MATCH(1,(Model_Pricing!$A:$A=D95)*(Model_Pricing!$B:$B=E95),0)),"")</f>
        <v/>
      </c>
      <c r="M95" s="4">
        <f>IF(J95="","",H95/1000000*K95)</f>
        <v/>
      </c>
      <c r="N95" s="4">
        <f>IF(J95="","",I95/1000000*L95)</f>
        <v/>
      </c>
      <c r="O95" s="4">
        <f>IF(J95="","",M95+N95)</f>
        <v/>
      </c>
    </row>
    <row r="96">
      <c r="A96" s="2" t="n"/>
      <c r="H96" s="3" t="n"/>
      <c r="I96" s="3" t="n"/>
      <c r="J96" s="3">
        <f>IF(OR(H96&lt;&gt;"",I96&lt;&gt;""),N(H96)+N(I96),"")</f>
        <v/>
      </c>
      <c r="K96" s="4">
        <f>IFERROR(INDEX(Model_Pricing!$D:$D,MATCH(1,(Model_Pricing!$A:$A=D96)*(Model_Pricing!$B:$B=E96),0)),"")</f>
        <v/>
      </c>
      <c r="L96" s="4">
        <f>IFERROR(INDEX(Model_Pricing!$E:$E,MATCH(1,(Model_Pricing!$A:$A=D96)*(Model_Pricing!$B:$B=E96),0)),"")</f>
        <v/>
      </c>
      <c r="M96" s="4">
        <f>IF(J96="","",H96/1000000*K96)</f>
        <v/>
      </c>
      <c r="N96" s="4">
        <f>IF(J96="","",I96/1000000*L96)</f>
        <v/>
      </c>
      <c r="O96" s="4">
        <f>IF(J96="","",M96+N96)</f>
        <v/>
      </c>
    </row>
    <row r="97">
      <c r="A97" s="2" t="n"/>
      <c r="H97" s="3" t="n"/>
      <c r="I97" s="3" t="n"/>
      <c r="J97" s="3">
        <f>IF(OR(H97&lt;&gt;"",I97&lt;&gt;""),N(H97)+N(I97),"")</f>
        <v/>
      </c>
      <c r="K97" s="4">
        <f>IFERROR(INDEX(Model_Pricing!$D:$D,MATCH(1,(Model_Pricing!$A:$A=D97)*(Model_Pricing!$B:$B=E97),0)),"")</f>
        <v/>
      </c>
      <c r="L97" s="4">
        <f>IFERROR(INDEX(Model_Pricing!$E:$E,MATCH(1,(Model_Pricing!$A:$A=D97)*(Model_Pricing!$B:$B=E97),0)),"")</f>
        <v/>
      </c>
      <c r="M97" s="4">
        <f>IF(J97="","",H97/1000000*K97)</f>
        <v/>
      </c>
      <c r="N97" s="4">
        <f>IF(J97="","",I97/1000000*L97)</f>
        <v/>
      </c>
      <c r="O97" s="4">
        <f>IF(J97="","",M97+N97)</f>
        <v/>
      </c>
    </row>
    <row r="98">
      <c r="A98" s="2" t="n"/>
      <c r="H98" s="3" t="n"/>
      <c r="I98" s="3" t="n"/>
      <c r="J98" s="3">
        <f>IF(OR(H98&lt;&gt;"",I98&lt;&gt;""),N(H98)+N(I98),"")</f>
        <v/>
      </c>
      <c r="K98" s="4">
        <f>IFERROR(INDEX(Model_Pricing!$D:$D,MATCH(1,(Model_Pricing!$A:$A=D98)*(Model_Pricing!$B:$B=E98),0)),"")</f>
        <v/>
      </c>
      <c r="L98" s="4">
        <f>IFERROR(INDEX(Model_Pricing!$E:$E,MATCH(1,(Model_Pricing!$A:$A=D98)*(Model_Pricing!$B:$B=E98),0)),"")</f>
        <v/>
      </c>
      <c r="M98" s="4">
        <f>IF(J98="","",H98/1000000*K98)</f>
        <v/>
      </c>
      <c r="N98" s="4">
        <f>IF(J98="","",I98/1000000*L98)</f>
        <v/>
      </c>
      <c r="O98" s="4">
        <f>IF(J98="","",M98+N98)</f>
        <v/>
      </c>
    </row>
    <row r="99">
      <c r="A99" s="2" t="n"/>
      <c r="H99" s="3" t="n"/>
      <c r="I99" s="3" t="n"/>
      <c r="J99" s="3">
        <f>IF(OR(H99&lt;&gt;"",I99&lt;&gt;""),N(H99)+N(I99),"")</f>
        <v/>
      </c>
      <c r="K99" s="4">
        <f>IFERROR(INDEX(Model_Pricing!$D:$D,MATCH(1,(Model_Pricing!$A:$A=D99)*(Model_Pricing!$B:$B=E99),0)),"")</f>
        <v/>
      </c>
      <c r="L99" s="4">
        <f>IFERROR(INDEX(Model_Pricing!$E:$E,MATCH(1,(Model_Pricing!$A:$A=D99)*(Model_Pricing!$B:$B=E99),0)),"")</f>
        <v/>
      </c>
      <c r="M99" s="4">
        <f>IF(J99="","",H99/1000000*K99)</f>
        <v/>
      </c>
      <c r="N99" s="4">
        <f>IF(J99="","",I99/1000000*L99)</f>
        <v/>
      </c>
      <c r="O99" s="4">
        <f>IF(J99="","",M99+N99)</f>
        <v/>
      </c>
    </row>
    <row r="100">
      <c r="A100" s="2" t="n"/>
      <c r="H100" s="3" t="n"/>
      <c r="I100" s="3" t="n"/>
      <c r="J100" s="3">
        <f>IF(OR(H100&lt;&gt;"",I100&lt;&gt;""),N(H100)+N(I100),"")</f>
        <v/>
      </c>
      <c r="K100" s="4">
        <f>IFERROR(INDEX(Model_Pricing!$D:$D,MATCH(1,(Model_Pricing!$A:$A=D100)*(Model_Pricing!$B:$B=E100),0)),"")</f>
        <v/>
      </c>
      <c r="L100" s="4">
        <f>IFERROR(INDEX(Model_Pricing!$E:$E,MATCH(1,(Model_Pricing!$A:$A=D100)*(Model_Pricing!$B:$B=E100),0)),"")</f>
        <v/>
      </c>
      <c r="M100" s="4">
        <f>IF(J100="","",H100/1000000*K100)</f>
        <v/>
      </c>
      <c r="N100" s="4">
        <f>IF(J100="","",I100/1000000*L100)</f>
        <v/>
      </c>
      <c r="O100" s="4">
        <f>IF(J100="","",M100+N100)</f>
        <v/>
      </c>
    </row>
    <row r="101">
      <c r="A101" s="2" t="n"/>
      <c r="H101" s="3" t="n"/>
      <c r="I101" s="3" t="n"/>
      <c r="J101" s="3">
        <f>IF(OR(H101&lt;&gt;"",I101&lt;&gt;""),N(H101)+N(I101),"")</f>
        <v/>
      </c>
      <c r="K101" s="4">
        <f>IFERROR(INDEX(Model_Pricing!$D:$D,MATCH(1,(Model_Pricing!$A:$A=D101)*(Model_Pricing!$B:$B=E101),0)),"")</f>
        <v/>
      </c>
      <c r="L101" s="4">
        <f>IFERROR(INDEX(Model_Pricing!$E:$E,MATCH(1,(Model_Pricing!$A:$A=D101)*(Model_Pricing!$B:$B=E101),0)),"")</f>
        <v/>
      </c>
      <c r="M101" s="4">
        <f>IF(J101="","",H101/1000000*K101)</f>
        <v/>
      </c>
      <c r="N101" s="4">
        <f>IF(J101="","",I101/1000000*L101)</f>
        <v/>
      </c>
      <c r="O101" s="4">
        <f>IF(J101="","",M101+N101)</f>
        <v/>
      </c>
    </row>
    <row r="102">
      <c r="A102" s="2" t="n"/>
      <c r="H102" s="3" t="n"/>
      <c r="I102" s="3" t="n"/>
      <c r="J102" s="3">
        <f>IF(OR(H102&lt;&gt;"",I102&lt;&gt;""),N(H102)+N(I102),"")</f>
        <v/>
      </c>
      <c r="K102" s="4">
        <f>IFERROR(INDEX(Model_Pricing!$D:$D,MATCH(1,(Model_Pricing!$A:$A=D102)*(Model_Pricing!$B:$B=E102),0)),"")</f>
        <v/>
      </c>
      <c r="L102" s="4">
        <f>IFERROR(INDEX(Model_Pricing!$E:$E,MATCH(1,(Model_Pricing!$A:$A=D102)*(Model_Pricing!$B:$B=E102),0)),"")</f>
        <v/>
      </c>
      <c r="M102" s="4">
        <f>IF(J102="","",H102/1000000*K102)</f>
        <v/>
      </c>
      <c r="N102" s="4">
        <f>IF(J102="","",I102/1000000*L102)</f>
        <v/>
      </c>
      <c r="O102" s="4">
        <f>IF(J102="","",M102+N102)</f>
        <v/>
      </c>
    </row>
    <row r="103">
      <c r="A103" s="2" t="n"/>
      <c r="H103" s="3" t="n"/>
      <c r="I103" s="3" t="n"/>
      <c r="J103" s="3">
        <f>IF(OR(H103&lt;&gt;"",I103&lt;&gt;""),N(H103)+N(I103),"")</f>
        <v/>
      </c>
      <c r="K103" s="4">
        <f>IFERROR(INDEX(Model_Pricing!$D:$D,MATCH(1,(Model_Pricing!$A:$A=D103)*(Model_Pricing!$B:$B=E103),0)),"")</f>
        <v/>
      </c>
      <c r="L103" s="4">
        <f>IFERROR(INDEX(Model_Pricing!$E:$E,MATCH(1,(Model_Pricing!$A:$A=D103)*(Model_Pricing!$B:$B=E103),0)),"")</f>
        <v/>
      </c>
      <c r="M103" s="4">
        <f>IF(J103="","",H103/1000000*K103)</f>
        <v/>
      </c>
      <c r="N103" s="4">
        <f>IF(J103="","",I103/1000000*L103)</f>
        <v/>
      </c>
      <c r="O103" s="4">
        <f>IF(J103="","",M103+N103)</f>
        <v/>
      </c>
    </row>
    <row r="104">
      <c r="A104" s="2" t="n"/>
      <c r="H104" s="3" t="n"/>
      <c r="I104" s="3" t="n"/>
      <c r="J104" s="3">
        <f>IF(OR(H104&lt;&gt;"",I104&lt;&gt;""),N(H104)+N(I104),"")</f>
        <v/>
      </c>
      <c r="K104" s="4">
        <f>IFERROR(INDEX(Model_Pricing!$D:$D,MATCH(1,(Model_Pricing!$A:$A=D104)*(Model_Pricing!$B:$B=E104),0)),"")</f>
        <v/>
      </c>
      <c r="L104" s="4">
        <f>IFERROR(INDEX(Model_Pricing!$E:$E,MATCH(1,(Model_Pricing!$A:$A=D104)*(Model_Pricing!$B:$B=E104),0)),"")</f>
        <v/>
      </c>
      <c r="M104" s="4">
        <f>IF(J104="","",H104/1000000*K104)</f>
        <v/>
      </c>
      <c r="N104" s="4">
        <f>IF(J104="","",I104/1000000*L104)</f>
        <v/>
      </c>
      <c r="O104" s="4">
        <f>IF(J104="","",M104+N104)</f>
        <v/>
      </c>
    </row>
    <row r="105">
      <c r="A105" s="2" t="n"/>
      <c r="H105" s="3" t="n"/>
      <c r="I105" s="3" t="n"/>
      <c r="J105" s="3">
        <f>IF(OR(H105&lt;&gt;"",I105&lt;&gt;""),N(H105)+N(I105),"")</f>
        <v/>
      </c>
      <c r="K105" s="4">
        <f>IFERROR(INDEX(Model_Pricing!$D:$D,MATCH(1,(Model_Pricing!$A:$A=D105)*(Model_Pricing!$B:$B=E105),0)),"")</f>
        <v/>
      </c>
      <c r="L105" s="4">
        <f>IFERROR(INDEX(Model_Pricing!$E:$E,MATCH(1,(Model_Pricing!$A:$A=D105)*(Model_Pricing!$B:$B=E105),0)),"")</f>
        <v/>
      </c>
      <c r="M105" s="4">
        <f>IF(J105="","",H105/1000000*K105)</f>
        <v/>
      </c>
      <c r="N105" s="4">
        <f>IF(J105="","",I105/1000000*L105)</f>
        <v/>
      </c>
      <c r="O105" s="4">
        <f>IF(J105="","",M105+N105)</f>
        <v/>
      </c>
    </row>
    <row r="106">
      <c r="A106" s="2" t="n"/>
      <c r="H106" s="3" t="n"/>
      <c r="I106" s="3" t="n"/>
      <c r="J106" s="3">
        <f>IF(OR(H106&lt;&gt;"",I106&lt;&gt;""),N(H106)+N(I106),"")</f>
        <v/>
      </c>
      <c r="K106" s="4">
        <f>IFERROR(INDEX(Model_Pricing!$D:$D,MATCH(1,(Model_Pricing!$A:$A=D106)*(Model_Pricing!$B:$B=E106),0)),"")</f>
        <v/>
      </c>
      <c r="L106" s="4">
        <f>IFERROR(INDEX(Model_Pricing!$E:$E,MATCH(1,(Model_Pricing!$A:$A=D106)*(Model_Pricing!$B:$B=E106),0)),"")</f>
        <v/>
      </c>
      <c r="M106" s="4">
        <f>IF(J106="","",H106/1000000*K106)</f>
        <v/>
      </c>
      <c r="N106" s="4">
        <f>IF(J106="","",I106/1000000*L106)</f>
        <v/>
      </c>
      <c r="O106" s="4">
        <f>IF(J106="","",M106+N106)</f>
        <v/>
      </c>
    </row>
    <row r="107">
      <c r="A107" s="2" t="n"/>
      <c r="H107" s="3" t="n"/>
      <c r="I107" s="3" t="n"/>
      <c r="J107" s="3">
        <f>IF(OR(H107&lt;&gt;"",I107&lt;&gt;""),N(H107)+N(I107),"")</f>
        <v/>
      </c>
      <c r="K107" s="4">
        <f>IFERROR(INDEX(Model_Pricing!$D:$D,MATCH(1,(Model_Pricing!$A:$A=D107)*(Model_Pricing!$B:$B=E107),0)),"")</f>
        <v/>
      </c>
      <c r="L107" s="4">
        <f>IFERROR(INDEX(Model_Pricing!$E:$E,MATCH(1,(Model_Pricing!$A:$A=D107)*(Model_Pricing!$B:$B=E107),0)),"")</f>
        <v/>
      </c>
      <c r="M107" s="4">
        <f>IF(J107="","",H107/1000000*K107)</f>
        <v/>
      </c>
      <c r="N107" s="4">
        <f>IF(J107="","",I107/1000000*L107)</f>
        <v/>
      </c>
      <c r="O107" s="4">
        <f>IF(J107="","",M107+N107)</f>
        <v/>
      </c>
    </row>
    <row r="108">
      <c r="A108" s="2" t="n"/>
      <c r="H108" s="3" t="n"/>
      <c r="I108" s="3" t="n"/>
      <c r="J108" s="3">
        <f>IF(OR(H108&lt;&gt;"",I108&lt;&gt;""),N(H108)+N(I108),"")</f>
        <v/>
      </c>
      <c r="K108" s="4">
        <f>IFERROR(INDEX(Model_Pricing!$D:$D,MATCH(1,(Model_Pricing!$A:$A=D108)*(Model_Pricing!$B:$B=E108),0)),"")</f>
        <v/>
      </c>
      <c r="L108" s="4">
        <f>IFERROR(INDEX(Model_Pricing!$E:$E,MATCH(1,(Model_Pricing!$A:$A=D108)*(Model_Pricing!$B:$B=E108),0)),"")</f>
        <v/>
      </c>
      <c r="M108" s="4">
        <f>IF(J108="","",H108/1000000*K108)</f>
        <v/>
      </c>
      <c r="N108" s="4">
        <f>IF(J108="","",I108/1000000*L108)</f>
        <v/>
      </c>
      <c r="O108" s="4">
        <f>IF(J108="","",M108+N108)</f>
        <v/>
      </c>
    </row>
    <row r="109">
      <c r="A109" s="2" t="n"/>
      <c r="H109" s="3" t="n"/>
      <c r="I109" s="3" t="n"/>
      <c r="J109" s="3">
        <f>IF(OR(H109&lt;&gt;"",I109&lt;&gt;""),N(H109)+N(I109),"")</f>
        <v/>
      </c>
      <c r="K109" s="4">
        <f>IFERROR(INDEX(Model_Pricing!$D:$D,MATCH(1,(Model_Pricing!$A:$A=D109)*(Model_Pricing!$B:$B=E109),0)),"")</f>
        <v/>
      </c>
      <c r="L109" s="4">
        <f>IFERROR(INDEX(Model_Pricing!$E:$E,MATCH(1,(Model_Pricing!$A:$A=D109)*(Model_Pricing!$B:$B=E109),0)),"")</f>
        <v/>
      </c>
      <c r="M109" s="4">
        <f>IF(J109="","",H109/1000000*K109)</f>
        <v/>
      </c>
      <c r="N109" s="4">
        <f>IF(J109="","",I109/1000000*L109)</f>
        <v/>
      </c>
      <c r="O109" s="4">
        <f>IF(J109="","",M109+N109)</f>
        <v/>
      </c>
    </row>
    <row r="110">
      <c r="A110" s="2" t="n"/>
      <c r="H110" s="3" t="n"/>
      <c r="I110" s="3" t="n"/>
      <c r="J110" s="3">
        <f>IF(OR(H110&lt;&gt;"",I110&lt;&gt;""),N(H110)+N(I110),"")</f>
        <v/>
      </c>
      <c r="K110" s="4">
        <f>IFERROR(INDEX(Model_Pricing!$D:$D,MATCH(1,(Model_Pricing!$A:$A=D110)*(Model_Pricing!$B:$B=E110),0)),"")</f>
        <v/>
      </c>
      <c r="L110" s="4">
        <f>IFERROR(INDEX(Model_Pricing!$E:$E,MATCH(1,(Model_Pricing!$A:$A=D110)*(Model_Pricing!$B:$B=E110),0)),"")</f>
        <v/>
      </c>
      <c r="M110" s="4">
        <f>IF(J110="","",H110/1000000*K110)</f>
        <v/>
      </c>
      <c r="N110" s="4">
        <f>IF(J110="","",I110/1000000*L110)</f>
        <v/>
      </c>
      <c r="O110" s="4">
        <f>IF(J110="","",M110+N110)</f>
        <v/>
      </c>
    </row>
    <row r="111">
      <c r="A111" s="2" t="n"/>
      <c r="H111" s="3" t="n"/>
      <c r="I111" s="3" t="n"/>
      <c r="J111" s="3">
        <f>IF(OR(H111&lt;&gt;"",I111&lt;&gt;""),N(H111)+N(I111),"")</f>
        <v/>
      </c>
      <c r="K111" s="4">
        <f>IFERROR(INDEX(Model_Pricing!$D:$D,MATCH(1,(Model_Pricing!$A:$A=D111)*(Model_Pricing!$B:$B=E111),0)),"")</f>
        <v/>
      </c>
      <c r="L111" s="4">
        <f>IFERROR(INDEX(Model_Pricing!$E:$E,MATCH(1,(Model_Pricing!$A:$A=D111)*(Model_Pricing!$B:$B=E111),0)),"")</f>
        <v/>
      </c>
      <c r="M111" s="4">
        <f>IF(J111="","",H111/1000000*K111)</f>
        <v/>
      </c>
      <c r="N111" s="4">
        <f>IF(J111="","",I111/1000000*L111)</f>
        <v/>
      </c>
      <c r="O111" s="4">
        <f>IF(J111="","",M111+N111)</f>
        <v/>
      </c>
    </row>
    <row r="112">
      <c r="A112" s="2" t="n"/>
      <c r="H112" s="3" t="n"/>
      <c r="I112" s="3" t="n"/>
      <c r="J112" s="3">
        <f>IF(OR(H112&lt;&gt;"",I112&lt;&gt;""),N(H112)+N(I112),"")</f>
        <v/>
      </c>
      <c r="K112" s="4">
        <f>IFERROR(INDEX(Model_Pricing!$D:$D,MATCH(1,(Model_Pricing!$A:$A=D112)*(Model_Pricing!$B:$B=E112),0)),"")</f>
        <v/>
      </c>
      <c r="L112" s="4">
        <f>IFERROR(INDEX(Model_Pricing!$E:$E,MATCH(1,(Model_Pricing!$A:$A=D112)*(Model_Pricing!$B:$B=E112),0)),"")</f>
        <v/>
      </c>
      <c r="M112" s="4">
        <f>IF(J112="","",H112/1000000*K112)</f>
        <v/>
      </c>
      <c r="N112" s="4">
        <f>IF(J112="","",I112/1000000*L112)</f>
        <v/>
      </c>
      <c r="O112" s="4">
        <f>IF(J112="","",M112+N112)</f>
        <v/>
      </c>
    </row>
    <row r="113">
      <c r="A113" s="2" t="n"/>
      <c r="H113" s="3" t="n"/>
      <c r="I113" s="3" t="n"/>
      <c r="J113" s="3">
        <f>IF(OR(H113&lt;&gt;"",I113&lt;&gt;""),N(H113)+N(I113),"")</f>
        <v/>
      </c>
      <c r="K113" s="4">
        <f>IFERROR(INDEX(Model_Pricing!$D:$D,MATCH(1,(Model_Pricing!$A:$A=D113)*(Model_Pricing!$B:$B=E113),0)),"")</f>
        <v/>
      </c>
      <c r="L113" s="4">
        <f>IFERROR(INDEX(Model_Pricing!$E:$E,MATCH(1,(Model_Pricing!$A:$A=D113)*(Model_Pricing!$B:$B=E113),0)),"")</f>
        <v/>
      </c>
      <c r="M113" s="4">
        <f>IF(J113="","",H113/1000000*K113)</f>
        <v/>
      </c>
      <c r="N113" s="4">
        <f>IF(J113="","",I113/1000000*L113)</f>
        <v/>
      </c>
      <c r="O113" s="4">
        <f>IF(J113="","",M113+N113)</f>
        <v/>
      </c>
    </row>
    <row r="114">
      <c r="A114" s="2" t="n"/>
      <c r="H114" s="3" t="n"/>
      <c r="I114" s="3" t="n"/>
      <c r="J114" s="3">
        <f>IF(OR(H114&lt;&gt;"",I114&lt;&gt;""),N(H114)+N(I114),"")</f>
        <v/>
      </c>
      <c r="K114" s="4">
        <f>IFERROR(INDEX(Model_Pricing!$D:$D,MATCH(1,(Model_Pricing!$A:$A=D114)*(Model_Pricing!$B:$B=E114),0)),"")</f>
        <v/>
      </c>
      <c r="L114" s="4">
        <f>IFERROR(INDEX(Model_Pricing!$E:$E,MATCH(1,(Model_Pricing!$A:$A=D114)*(Model_Pricing!$B:$B=E114),0)),"")</f>
        <v/>
      </c>
      <c r="M114" s="4">
        <f>IF(J114="","",H114/1000000*K114)</f>
        <v/>
      </c>
      <c r="N114" s="4">
        <f>IF(J114="","",I114/1000000*L114)</f>
        <v/>
      </c>
      <c r="O114" s="4">
        <f>IF(J114="","",M114+N114)</f>
        <v/>
      </c>
    </row>
    <row r="115">
      <c r="A115" s="2" t="n"/>
      <c r="H115" s="3" t="n"/>
      <c r="I115" s="3" t="n"/>
      <c r="J115" s="3">
        <f>IF(OR(H115&lt;&gt;"",I115&lt;&gt;""),N(H115)+N(I115),"")</f>
        <v/>
      </c>
      <c r="K115" s="4">
        <f>IFERROR(INDEX(Model_Pricing!$D:$D,MATCH(1,(Model_Pricing!$A:$A=D115)*(Model_Pricing!$B:$B=E115),0)),"")</f>
        <v/>
      </c>
      <c r="L115" s="4">
        <f>IFERROR(INDEX(Model_Pricing!$E:$E,MATCH(1,(Model_Pricing!$A:$A=D115)*(Model_Pricing!$B:$B=E115),0)),"")</f>
        <v/>
      </c>
      <c r="M115" s="4">
        <f>IF(J115="","",H115/1000000*K115)</f>
        <v/>
      </c>
      <c r="N115" s="4">
        <f>IF(J115="","",I115/1000000*L115)</f>
        <v/>
      </c>
      <c r="O115" s="4">
        <f>IF(J115="","",M115+N115)</f>
        <v/>
      </c>
    </row>
    <row r="116">
      <c r="A116" s="2" t="n"/>
      <c r="H116" s="3" t="n"/>
      <c r="I116" s="3" t="n"/>
      <c r="J116" s="3">
        <f>IF(OR(H116&lt;&gt;"",I116&lt;&gt;""),N(H116)+N(I116),"")</f>
        <v/>
      </c>
      <c r="K116" s="4">
        <f>IFERROR(INDEX(Model_Pricing!$D:$D,MATCH(1,(Model_Pricing!$A:$A=D116)*(Model_Pricing!$B:$B=E116),0)),"")</f>
        <v/>
      </c>
      <c r="L116" s="4">
        <f>IFERROR(INDEX(Model_Pricing!$E:$E,MATCH(1,(Model_Pricing!$A:$A=D116)*(Model_Pricing!$B:$B=E116),0)),"")</f>
        <v/>
      </c>
      <c r="M116" s="4">
        <f>IF(J116="","",H116/1000000*K116)</f>
        <v/>
      </c>
      <c r="N116" s="4">
        <f>IF(J116="","",I116/1000000*L116)</f>
        <v/>
      </c>
      <c r="O116" s="4">
        <f>IF(J116="","",M116+N116)</f>
        <v/>
      </c>
    </row>
    <row r="117">
      <c r="A117" s="2" t="n"/>
      <c r="H117" s="3" t="n"/>
      <c r="I117" s="3" t="n"/>
      <c r="J117" s="3">
        <f>IF(OR(H117&lt;&gt;"",I117&lt;&gt;""),N(H117)+N(I117),"")</f>
        <v/>
      </c>
      <c r="K117" s="4">
        <f>IFERROR(INDEX(Model_Pricing!$D:$D,MATCH(1,(Model_Pricing!$A:$A=D117)*(Model_Pricing!$B:$B=E117),0)),"")</f>
        <v/>
      </c>
      <c r="L117" s="4">
        <f>IFERROR(INDEX(Model_Pricing!$E:$E,MATCH(1,(Model_Pricing!$A:$A=D117)*(Model_Pricing!$B:$B=E117),0)),"")</f>
        <v/>
      </c>
      <c r="M117" s="4">
        <f>IF(J117="","",H117/1000000*K117)</f>
        <v/>
      </c>
      <c r="N117" s="4">
        <f>IF(J117="","",I117/1000000*L117)</f>
        <v/>
      </c>
      <c r="O117" s="4">
        <f>IF(J117="","",M117+N117)</f>
        <v/>
      </c>
    </row>
    <row r="118">
      <c r="A118" s="2" t="n"/>
      <c r="H118" s="3" t="n"/>
      <c r="I118" s="3" t="n"/>
      <c r="J118" s="3">
        <f>IF(OR(H118&lt;&gt;"",I118&lt;&gt;""),N(H118)+N(I118),"")</f>
        <v/>
      </c>
      <c r="K118" s="4">
        <f>IFERROR(INDEX(Model_Pricing!$D:$D,MATCH(1,(Model_Pricing!$A:$A=D118)*(Model_Pricing!$B:$B=E118),0)),"")</f>
        <v/>
      </c>
      <c r="L118" s="4">
        <f>IFERROR(INDEX(Model_Pricing!$E:$E,MATCH(1,(Model_Pricing!$A:$A=D118)*(Model_Pricing!$B:$B=E118),0)),"")</f>
        <v/>
      </c>
      <c r="M118" s="4">
        <f>IF(J118="","",H118/1000000*K118)</f>
        <v/>
      </c>
      <c r="N118" s="4">
        <f>IF(J118="","",I118/1000000*L118)</f>
        <v/>
      </c>
      <c r="O118" s="4">
        <f>IF(J118="","",M118+N118)</f>
        <v/>
      </c>
    </row>
    <row r="119">
      <c r="A119" s="2" t="n"/>
      <c r="H119" s="3" t="n"/>
      <c r="I119" s="3" t="n"/>
      <c r="J119" s="3">
        <f>IF(OR(H119&lt;&gt;"",I119&lt;&gt;""),N(H119)+N(I119),"")</f>
        <v/>
      </c>
      <c r="K119" s="4">
        <f>IFERROR(INDEX(Model_Pricing!$D:$D,MATCH(1,(Model_Pricing!$A:$A=D119)*(Model_Pricing!$B:$B=E119),0)),"")</f>
        <v/>
      </c>
      <c r="L119" s="4">
        <f>IFERROR(INDEX(Model_Pricing!$E:$E,MATCH(1,(Model_Pricing!$A:$A=D119)*(Model_Pricing!$B:$B=E119),0)),"")</f>
        <v/>
      </c>
      <c r="M119" s="4">
        <f>IF(J119="","",H119/1000000*K119)</f>
        <v/>
      </c>
      <c r="N119" s="4">
        <f>IF(J119="","",I119/1000000*L119)</f>
        <v/>
      </c>
      <c r="O119" s="4">
        <f>IF(J119="","",M119+N119)</f>
        <v/>
      </c>
    </row>
    <row r="120">
      <c r="A120" s="2" t="n"/>
      <c r="H120" s="3" t="n"/>
      <c r="I120" s="3" t="n"/>
      <c r="J120" s="3">
        <f>IF(OR(H120&lt;&gt;"",I120&lt;&gt;""),N(H120)+N(I120),"")</f>
        <v/>
      </c>
      <c r="K120" s="4">
        <f>IFERROR(INDEX(Model_Pricing!$D:$D,MATCH(1,(Model_Pricing!$A:$A=D120)*(Model_Pricing!$B:$B=E120),0)),"")</f>
        <v/>
      </c>
      <c r="L120" s="4">
        <f>IFERROR(INDEX(Model_Pricing!$E:$E,MATCH(1,(Model_Pricing!$A:$A=D120)*(Model_Pricing!$B:$B=E120),0)),"")</f>
        <v/>
      </c>
      <c r="M120" s="4">
        <f>IF(J120="","",H120/1000000*K120)</f>
        <v/>
      </c>
      <c r="N120" s="4">
        <f>IF(J120="","",I120/1000000*L120)</f>
        <v/>
      </c>
      <c r="O120" s="4">
        <f>IF(J120="","",M120+N120)</f>
        <v/>
      </c>
    </row>
    <row r="121">
      <c r="A121" s="2" t="n"/>
      <c r="H121" s="3" t="n"/>
      <c r="I121" s="3" t="n"/>
      <c r="J121" s="3">
        <f>IF(OR(H121&lt;&gt;"",I121&lt;&gt;""),N(H121)+N(I121),"")</f>
        <v/>
      </c>
      <c r="K121" s="4">
        <f>IFERROR(INDEX(Model_Pricing!$D:$D,MATCH(1,(Model_Pricing!$A:$A=D121)*(Model_Pricing!$B:$B=E121),0)),"")</f>
        <v/>
      </c>
      <c r="L121" s="4">
        <f>IFERROR(INDEX(Model_Pricing!$E:$E,MATCH(1,(Model_Pricing!$A:$A=D121)*(Model_Pricing!$B:$B=E121),0)),"")</f>
        <v/>
      </c>
      <c r="M121" s="4">
        <f>IF(J121="","",H121/1000000*K121)</f>
        <v/>
      </c>
      <c r="N121" s="4">
        <f>IF(J121="","",I121/1000000*L121)</f>
        <v/>
      </c>
      <c r="O121" s="4">
        <f>IF(J121="","",M121+N121)</f>
        <v/>
      </c>
    </row>
    <row r="122">
      <c r="A122" s="2" t="n"/>
      <c r="H122" s="3" t="n"/>
      <c r="I122" s="3" t="n"/>
      <c r="J122" s="3">
        <f>IF(OR(H122&lt;&gt;"",I122&lt;&gt;""),N(H122)+N(I122),"")</f>
        <v/>
      </c>
      <c r="K122" s="4">
        <f>IFERROR(INDEX(Model_Pricing!$D:$D,MATCH(1,(Model_Pricing!$A:$A=D122)*(Model_Pricing!$B:$B=E122),0)),"")</f>
        <v/>
      </c>
      <c r="L122" s="4">
        <f>IFERROR(INDEX(Model_Pricing!$E:$E,MATCH(1,(Model_Pricing!$A:$A=D122)*(Model_Pricing!$B:$B=E122),0)),"")</f>
        <v/>
      </c>
      <c r="M122" s="4">
        <f>IF(J122="","",H122/1000000*K122)</f>
        <v/>
      </c>
      <c r="N122" s="4">
        <f>IF(J122="","",I122/1000000*L122)</f>
        <v/>
      </c>
      <c r="O122" s="4">
        <f>IF(J122="","",M122+N122)</f>
        <v/>
      </c>
    </row>
    <row r="123">
      <c r="A123" s="2" t="n"/>
      <c r="H123" s="3" t="n"/>
      <c r="I123" s="3" t="n"/>
      <c r="J123" s="3">
        <f>IF(OR(H123&lt;&gt;"",I123&lt;&gt;""),N(H123)+N(I123),"")</f>
        <v/>
      </c>
      <c r="K123" s="4">
        <f>IFERROR(INDEX(Model_Pricing!$D:$D,MATCH(1,(Model_Pricing!$A:$A=D123)*(Model_Pricing!$B:$B=E123),0)),"")</f>
        <v/>
      </c>
      <c r="L123" s="4">
        <f>IFERROR(INDEX(Model_Pricing!$E:$E,MATCH(1,(Model_Pricing!$A:$A=D123)*(Model_Pricing!$B:$B=E123),0)),"")</f>
        <v/>
      </c>
      <c r="M123" s="4">
        <f>IF(J123="","",H123/1000000*K123)</f>
        <v/>
      </c>
      <c r="N123" s="4">
        <f>IF(J123="","",I123/1000000*L123)</f>
        <v/>
      </c>
      <c r="O123" s="4">
        <f>IF(J123="","",M123+N123)</f>
        <v/>
      </c>
    </row>
    <row r="124">
      <c r="A124" s="2" t="n"/>
      <c r="H124" s="3" t="n"/>
      <c r="I124" s="3" t="n"/>
      <c r="J124" s="3">
        <f>IF(OR(H124&lt;&gt;"",I124&lt;&gt;""),N(H124)+N(I124),"")</f>
        <v/>
      </c>
      <c r="K124" s="4">
        <f>IFERROR(INDEX(Model_Pricing!$D:$D,MATCH(1,(Model_Pricing!$A:$A=D124)*(Model_Pricing!$B:$B=E124),0)),"")</f>
        <v/>
      </c>
      <c r="L124" s="4">
        <f>IFERROR(INDEX(Model_Pricing!$E:$E,MATCH(1,(Model_Pricing!$A:$A=D124)*(Model_Pricing!$B:$B=E124),0)),"")</f>
        <v/>
      </c>
      <c r="M124" s="4">
        <f>IF(J124="","",H124/1000000*K124)</f>
        <v/>
      </c>
      <c r="N124" s="4">
        <f>IF(J124="","",I124/1000000*L124)</f>
        <v/>
      </c>
      <c r="O124" s="4">
        <f>IF(J124="","",M124+N124)</f>
        <v/>
      </c>
    </row>
    <row r="125">
      <c r="A125" s="2" t="n"/>
      <c r="H125" s="3" t="n"/>
      <c r="I125" s="3" t="n"/>
      <c r="J125" s="3">
        <f>IF(OR(H125&lt;&gt;"",I125&lt;&gt;""),N(H125)+N(I125),"")</f>
        <v/>
      </c>
      <c r="K125" s="4">
        <f>IFERROR(INDEX(Model_Pricing!$D:$D,MATCH(1,(Model_Pricing!$A:$A=D125)*(Model_Pricing!$B:$B=E125),0)),"")</f>
        <v/>
      </c>
      <c r="L125" s="4">
        <f>IFERROR(INDEX(Model_Pricing!$E:$E,MATCH(1,(Model_Pricing!$A:$A=D125)*(Model_Pricing!$B:$B=E125),0)),"")</f>
        <v/>
      </c>
      <c r="M125" s="4">
        <f>IF(J125="","",H125/1000000*K125)</f>
        <v/>
      </c>
      <c r="N125" s="4">
        <f>IF(J125="","",I125/1000000*L125)</f>
        <v/>
      </c>
      <c r="O125" s="4">
        <f>IF(J125="","",M125+N125)</f>
        <v/>
      </c>
    </row>
    <row r="126">
      <c r="A126" s="2" t="n"/>
      <c r="H126" s="3" t="n"/>
      <c r="I126" s="3" t="n"/>
      <c r="J126" s="3">
        <f>IF(OR(H126&lt;&gt;"",I126&lt;&gt;""),N(H126)+N(I126),"")</f>
        <v/>
      </c>
      <c r="K126" s="4">
        <f>IFERROR(INDEX(Model_Pricing!$D:$D,MATCH(1,(Model_Pricing!$A:$A=D126)*(Model_Pricing!$B:$B=E126),0)),"")</f>
        <v/>
      </c>
      <c r="L126" s="4">
        <f>IFERROR(INDEX(Model_Pricing!$E:$E,MATCH(1,(Model_Pricing!$A:$A=D126)*(Model_Pricing!$B:$B=E126),0)),"")</f>
        <v/>
      </c>
      <c r="M126" s="4">
        <f>IF(J126="","",H126/1000000*K126)</f>
        <v/>
      </c>
      <c r="N126" s="4">
        <f>IF(J126="","",I126/1000000*L126)</f>
        <v/>
      </c>
      <c r="O126" s="4">
        <f>IF(J126="","",M126+N126)</f>
        <v/>
      </c>
    </row>
    <row r="127">
      <c r="A127" s="2" t="n"/>
      <c r="H127" s="3" t="n"/>
      <c r="I127" s="3" t="n"/>
      <c r="J127" s="3">
        <f>IF(OR(H127&lt;&gt;"",I127&lt;&gt;""),N(H127)+N(I127),"")</f>
        <v/>
      </c>
      <c r="K127" s="4">
        <f>IFERROR(INDEX(Model_Pricing!$D:$D,MATCH(1,(Model_Pricing!$A:$A=D127)*(Model_Pricing!$B:$B=E127),0)),"")</f>
        <v/>
      </c>
      <c r="L127" s="4">
        <f>IFERROR(INDEX(Model_Pricing!$E:$E,MATCH(1,(Model_Pricing!$A:$A=D127)*(Model_Pricing!$B:$B=E127),0)),"")</f>
        <v/>
      </c>
      <c r="M127" s="4">
        <f>IF(J127="","",H127/1000000*K127)</f>
        <v/>
      </c>
      <c r="N127" s="4">
        <f>IF(J127="","",I127/1000000*L127)</f>
        <v/>
      </c>
      <c r="O127" s="4">
        <f>IF(J127="","",M127+N127)</f>
        <v/>
      </c>
    </row>
    <row r="128">
      <c r="A128" s="2" t="n"/>
      <c r="H128" s="3" t="n"/>
      <c r="I128" s="3" t="n"/>
      <c r="J128" s="3">
        <f>IF(OR(H128&lt;&gt;"",I128&lt;&gt;""),N(H128)+N(I128),"")</f>
        <v/>
      </c>
      <c r="K128" s="4">
        <f>IFERROR(INDEX(Model_Pricing!$D:$D,MATCH(1,(Model_Pricing!$A:$A=D128)*(Model_Pricing!$B:$B=E128),0)),"")</f>
        <v/>
      </c>
      <c r="L128" s="4">
        <f>IFERROR(INDEX(Model_Pricing!$E:$E,MATCH(1,(Model_Pricing!$A:$A=D128)*(Model_Pricing!$B:$B=E128),0)),"")</f>
        <v/>
      </c>
      <c r="M128" s="4">
        <f>IF(J128="","",H128/1000000*K128)</f>
        <v/>
      </c>
      <c r="N128" s="4">
        <f>IF(J128="","",I128/1000000*L128)</f>
        <v/>
      </c>
      <c r="O128" s="4">
        <f>IF(J128="","",M128+N128)</f>
        <v/>
      </c>
    </row>
    <row r="129">
      <c r="A129" s="2" t="n"/>
      <c r="H129" s="3" t="n"/>
      <c r="I129" s="3" t="n"/>
      <c r="J129" s="3">
        <f>IF(OR(H129&lt;&gt;"",I129&lt;&gt;""),N(H129)+N(I129),"")</f>
        <v/>
      </c>
      <c r="K129" s="4">
        <f>IFERROR(INDEX(Model_Pricing!$D:$D,MATCH(1,(Model_Pricing!$A:$A=D129)*(Model_Pricing!$B:$B=E129),0)),"")</f>
        <v/>
      </c>
      <c r="L129" s="4">
        <f>IFERROR(INDEX(Model_Pricing!$E:$E,MATCH(1,(Model_Pricing!$A:$A=D129)*(Model_Pricing!$B:$B=E129),0)),"")</f>
        <v/>
      </c>
      <c r="M129" s="4">
        <f>IF(J129="","",H129/1000000*K129)</f>
        <v/>
      </c>
      <c r="N129" s="4">
        <f>IF(J129="","",I129/1000000*L129)</f>
        <v/>
      </c>
      <c r="O129" s="4">
        <f>IF(J129="","",M129+N129)</f>
        <v/>
      </c>
    </row>
    <row r="130">
      <c r="A130" s="2" t="n"/>
      <c r="H130" s="3" t="n"/>
      <c r="I130" s="3" t="n"/>
      <c r="J130" s="3">
        <f>IF(OR(H130&lt;&gt;"",I130&lt;&gt;""),N(H130)+N(I130),"")</f>
        <v/>
      </c>
      <c r="K130" s="4">
        <f>IFERROR(INDEX(Model_Pricing!$D:$D,MATCH(1,(Model_Pricing!$A:$A=D130)*(Model_Pricing!$B:$B=E130),0)),"")</f>
        <v/>
      </c>
      <c r="L130" s="4">
        <f>IFERROR(INDEX(Model_Pricing!$E:$E,MATCH(1,(Model_Pricing!$A:$A=D130)*(Model_Pricing!$B:$B=E130),0)),"")</f>
        <v/>
      </c>
      <c r="M130" s="4">
        <f>IF(J130="","",H130/1000000*K130)</f>
        <v/>
      </c>
      <c r="N130" s="4">
        <f>IF(J130="","",I130/1000000*L130)</f>
        <v/>
      </c>
      <c r="O130" s="4">
        <f>IF(J130="","",M130+N130)</f>
        <v/>
      </c>
    </row>
    <row r="131">
      <c r="A131" s="2" t="n"/>
      <c r="H131" s="3" t="n"/>
      <c r="I131" s="3" t="n"/>
      <c r="J131" s="3">
        <f>IF(OR(H131&lt;&gt;"",I131&lt;&gt;""),N(H131)+N(I131),"")</f>
        <v/>
      </c>
      <c r="K131" s="4">
        <f>IFERROR(INDEX(Model_Pricing!$D:$D,MATCH(1,(Model_Pricing!$A:$A=D131)*(Model_Pricing!$B:$B=E131),0)),"")</f>
        <v/>
      </c>
      <c r="L131" s="4">
        <f>IFERROR(INDEX(Model_Pricing!$E:$E,MATCH(1,(Model_Pricing!$A:$A=D131)*(Model_Pricing!$B:$B=E131),0)),"")</f>
        <v/>
      </c>
      <c r="M131" s="4">
        <f>IF(J131="","",H131/1000000*K131)</f>
        <v/>
      </c>
      <c r="N131" s="4">
        <f>IF(J131="","",I131/1000000*L131)</f>
        <v/>
      </c>
      <c r="O131" s="4">
        <f>IF(J131="","",M131+N131)</f>
        <v/>
      </c>
    </row>
    <row r="132">
      <c r="A132" s="2" t="n"/>
      <c r="H132" s="3" t="n"/>
      <c r="I132" s="3" t="n"/>
      <c r="J132" s="3">
        <f>IF(OR(H132&lt;&gt;"",I132&lt;&gt;""),N(H132)+N(I132),"")</f>
        <v/>
      </c>
      <c r="K132" s="4">
        <f>IFERROR(INDEX(Model_Pricing!$D:$D,MATCH(1,(Model_Pricing!$A:$A=D132)*(Model_Pricing!$B:$B=E132),0)),"")</f>
        <v/>
      </c>
      <c r="L132" s="4">
        <f>IFERROR(INDEX(Model_Pricing!$E:$E,MATCH(1,(Model_Pricing!$A:$A=D132)*(Model_Pricing!$B:$B=E132),0)),"")</f>
        <v/>
      </c>
      <c r="M132" s="4">
        <f>IF(J132="","",H132/1000000*K132)</f>
        <v/>
      </c>
      <c r="N132" s="4">
        <f>IF(J132="","",I132/1000000*L132)</f>
        <v/>
      </c>
      <c r="O132" s="4">
        <f>IF(J132="","",M132+N132)</f>
        <v/>
      </c>
    </row>
    <row r="133">
      <c r="A133" s="2" t="n"/>
      <c r="H133" s="3" t="n"/>
      <c r="I133" s="3" t="n"/>
      <c r="J133" s="3">
        <f>IF(OR(H133&lt;&gt;"",I133&lt;&gt;""),N(H133)+N(I133),"")</f>
        <v/>
      </c>
      <c r="K133" s="4">
        <f>IFERROR(INDEX(Model_Pricing!$D:$D,MATCH(1,(Model_Pricing!$A:$A=D133)*(Model_Pricing!$B:$B=E133),0)),"")</f>
        <v/>
      </c>
      <c r="L133" s="4">
        <f>IFERROR(INDEX(Model_Pricing!$E:$E,MATCH(1,(Model_Pricing!$A:$A=D133)*(Model_Pricing!$B:$B=E133),0)),"")</f>
        <v/>
      </c>
      <c r="M133" s="4">
        <f>IF(J133="","",H133/1000000*K133)</f>
        <v/>
      </c>
      <c r="N133" s="4">
        <f>IF(J133="","",I133/1000000*L133)</f>
        <v/>
      </c>
      <c r="O133" s="4">
        <f>IF(J133="","",M133+N133)</f>
        <v/>
      </c>
    </row>
    <row r="134">
      <c r="A134" s="2" t="n"/>
      <c r="H134" s="3" t="n"/>
      <c r="I134" s="3" t="n"/>
      <c r="J134" s="3">
        <f>IF(OR(H134&lt;&gt;"",I134&lt;&gt;""),N(H134)+N(I134),"")</f>
        <v/>
      </c>
      <c r="K134" s="4">
        <f>IFERROR(INDEX(Model_Pricing!$D:$D,MATCH(1,(Model_Pricing!$A:$A=D134)*(Model_Pricing!$B:$B=E134),0)),"")</f>
        <v/>
      </c>
      <c r="L134" s="4">
        <f>IFERROR(INDEX(Model_Pricing!$E:$E,MATCH(1,(Model_Pricing!$A:$A=D134)*(Model_Pricing!$B:$B=E134),0)),"")</f>
        <v/>
      </c>
      <c r="M134" s="4">
        <f>IF(J134="","",H134/1000000*K134)</f>
        <v/>
      </c>
      <c r="N134" s="4">
        <f>IF(J134="","",I134/1000000*L134)</f>
        <v/>
      </c>
      <c r="O134" s="4">
        <f>IF(J134="","",M134+N134)</f>
        <v/>
      </c>
    </row>
    <row r="135">
      <c r="A135" s="2" t="n"/>
      <c r="H135" s="3" t="n"/>
      <c r="I135" s="3" t="n"/>
      <c r="J135" s="3">
        <f>IF(OR(H135&lt;&gt;"",I135&lt;&gt;""),N(H135)+N(I135),"")</f>
        <v/>
      </c>
      <c r="K135" s="4">
        <f>IFERROR(INDEX(Model_Pricing!$D:$D,MATCH(1,(Model_Pricing!$A:$A=D135)*(Model_Pricing!$B:$B=E135),0)),"")</f>
        <v/>
      </c>
      <c r="L135" s="4">
        <f>IFERROR(INDEX(Model_Pricing!$E:$E,MATCH(1,(Model_Pricing!$A:$A=D135)*(Model_Pricing!$B:$B=E135),0)),"")</f>
        <v/>
      </c>
      <c r="M135" s="4">
        <f>IF(J135="","",H135/1000000*K135)</f>
        <v/>
      </c>
      <c r="N135" s="4">
        <f>IF(J135="","",I135/1000000*L135)</f>
        <v/>
      </c>
      <c r="O135" s="4">
        <f>IF(J135="","",M135+N135)</f>
        <v/>
      </c>
    </row>
    <row r="136">
      <c r="A136" s="2" t="n"/>
      <c r="H136" s="3" t="n"/>
      <c r="I136" s="3" t="n"/>
      <c r="J136" s="3">
        <f>IF(OR(H136&lt;&gt;"",I136&lt;&gt;""),N(H136)+N(I136),"")</f>
        <v/>
      </c>
      <c r="K136" s="4">
        <f>IFERROR(INDEX(Model_Pricing!$D:$D,MATCH(1,(Model_Pricing!$A:$A=D136)*(Model_Pricing!$B:$B=E136),0)),"")</f>
        <v/>
      </c>
      <c r="L136" s="4">
        <f>IFERROR(INDEX(Model_Pricing!$E:$E,MATCH(1,(Model_Pricing!$A:$A=D136)*(Model_Pricing!$B:$B=E136),0)),"")</f>
        <v/>
      </c>
      <c r="M136" s="4">
        <f>IF(J136="","",H136/1000000*K136)</f>
        <v/>
      </c>
      <c r="N136" s="4">
        <f>IF(J136="","",I136/1000000*L136)</f>
        <v/>
      </c>
      <c r="O136" s="4">
        <f>IF(J136="","",M136+N136)</f>
        <v/>
      </c>
    </row>
    <row r="137">
      <c r="A137" s="2" t="n"/>
      <c r="H137" s="3" t="n"/>
      <c r="I137" s="3" t="n"/>
      <c r="J137" s="3">
        <f>IF(OR(H137&lt;&gt;"",I137&lt;&gt;""),N(H137)+N(I137),"")</f>
        <v/>
      </c>
      <c r="K137" s="4">
        <f>IFERROR(INDEX(Model_Pricing!$D:$D,MATCH(1,(Model_Pricing!$A:$A=D137)*(Model_Pricing!$B:$B=E137),0)),"")</f>
        <v/>
      </c>
      <c r="L137" s="4">
        <f>IFERROR(INDEX(Model_Pricing!$E:$E,MATCH(1,(Model_Pricing!$A:$A=D137)*(Model_Pricing!$B:$B=E137),0)),"")</f>
        <v/>
      </c>
      <c r="M137" s="4">
        <f>IF(J137="","",H137/1000000*K137)</f>
        <v/>
      </c>
      <c r="N137" s="4">
        <f>IF(J137="","",I137/1000000*L137)</f>
        <v/>
      </c>
      <c r="O137" s="4">
        <f>IF(J137="","",M137+N137)</f>
        <v/>
      </c>
    </row>
    <row r="138">
      <c r="A138" s="2" t="n"/>
      <c r="H138" s="3" t="n"/>
      <c r="I138" s="3" t="n"/>
      <c r="J138" s="3">
        <f>IF(OR(H138&lt;&gt;"",I138&lt;&gt;""),N(H138)+N(I138),"")</f>
        <v/>
      </c>
      <c r="K138" s="4">
        <f>IFERROR(INDEX(Model_Pricing!$D:$D,MATCH(1,(Model_Pricing!$A:$A=D138)*(Model_Pricing!$B:$B=E138),0)),"")</f>
        <v/>
      </c>
      <c r="L138" s="4">
        <f>IFERROR(INDEX(Model_Pricing!$E:$E,MATCH(1,(Model_Pricing!$A:$A=D138)*(Model_Pricing!$B:$B=E138),0)),"")</f>
        <v/>
      </c>
      <c r="M138" s="4">
        <f>IF(J138="","",H138/1000000*K138)</f>
        <v/>
      </c>
      <c r="N138" s="4">
        <f>IF(J138="","",I138/1000000*L138)</f>
        <v/>
      </c>
      <c r="O138" s="4">
        <f>IF(J138="","",M138+N138)</f>
        <v/>
      </c>
    </row>
    <row r="139">
      <c r="A139" s="2" t="n"/>
      <c r="H139" s="3" t="n"/>
      <c r="I139" s="3" t="n"/>
      <c r="J139" s="3">
        <f>IF(OR(H139&lt;&gt;"",I139&lt;&gt;""),N(H139)+N(I139),"")</f>
        <v/>
      </c>
      <c r="K139" s="4">
        <f>IFERROR(INDEX(Model_Pricing!$D:$D,MATCH(1,(Model_Pricing!$A:$A=D139)*(Model_Pricing!$B:$B=E139),0)),"")</f>
        <v/>
      </c>
      <c r="L139" s="4">
        <f>IFERROR(INDEX(Model_Pricing!$E:$E,MATCH(1,(Model_Pricing!$A:$A=D139)*(Model_Pricing!$B:$B=E139),0)),"")</f>
        <v/>
      </c>
      <c r="M139" s="4">
        <f>IF(J139="","",H139/1000000*K139)</f>
        <v/>
      </c>
      <c r="N139" s="4">
        <f>IF(J139="","",I139/1000000*L139)</f>
        <v/>
      </c>
      <c r="O139" s="4">
        <f>IF(J139="","",M139+N139)</f>
        <v/>
      </c>
    </row>
    <row r="140">
      <c r="A140" s="2" t="n"/>
      <c r="H140" s="3" t="n"/>
      <c r="I140" s="3" t="n"/>
      <c r="J140" s="3">
        <f>IF(OR(H140&lt;&gt;"",I140&lt;&gt;""),N(H140)+N(I140),"")</f>
        <v/>
      </c>
      <c r="K140" s="4">
        <f>IFERROR(INDEX(Model_Pricing!$D:$D,MATCH(1,(Model_Pricing!$A:$A=D140)*(Model_Pricing!$B:$B=E140),0)),"")</f>
        <v/>
      </c>
      <c r="L140" s="4">
        <f>IFERROR(INDEX(Model_Pricing!$E:$E,MATCH(1,(Model_Pricing!$A:$A=D140)*(Model_Pricing!$B:$B=E140),0)),"")</f>
        <v/>
      </c>
      <c r="M140" s="4">
        <f>IF(J140="","",H140/1000000*K140)</f>
        <v/>
      </c>
      <c r="N140" s="4">
        <f>IF(J140="","",I140/1000000*L140)</f>
        <v/>
      </c>
      <c r="O140" s="4">
        <f>IF(J140="","",M140+N140)</f>
        <v/>
      </c>
    </row>
    <row r="141">
      <c r="A141" s="2" t="n"/>
      <c r="H141" s="3" t="n"/>
      <c r="I141" s="3" t="n"/>
      <c r="J141" s="3">
        <f>IF(OR(H141&lt;&gt;"",I141&lt;&gt;""),N(H141)+N(I141),"")</f>
        <v/>
      </c>
      <c r="K141" s="4">
        <f>IFERROR(INDEX(Model_Pricing!$D:$D,MATCH(1,(Model_Pricing!$A:$A=D141)*(Model_Pricing!$B:$B=E141),0)),"")</f>
        <v/>
      </c>
      <c r="L141" s="4">
        <f>IFERROR(INDEX(Model_Pricing!$E:$E,MATCH(1,(Model_Pricing!$A:$A=D141)*(Model_Pricing!$B:$B=E141),0)),"")</f>
        <v/>
      </c>
      <c r="M141" s="4">
        <f>IF(J141="","",H141/1000000*K141)</f>
        <v/>
      </c>
      <c r="N141" s="4">
        <f>IF(J141="","",I141/1000000*L141)</f>
        <v/>
      </c>
      <c r="O141" s="4">
        <f>IF(J141="","",M141+N141)</f>
        <v/>
      </c>
    </row>
    <row r="142">
      <c r="A142" s="2" t="n"/>
      <c r="H142" s="3" t="n"/>
      <c r="I142" s="3" t="n"/>
      <c r="J142" s="3">
        <f>IF(OR(H142&lt;&gt;"",I142&lt;&gt;""),N(H142)+N(I142),"")</f>
        <v/>
      </c>
      <c r="K142" s="4">
        <f>IFERROR(INDEX(Model_Pricing!$D:$D,MATCH(1,(Model_Pricing!$A:$A=D142)*(Model_Pricing!$B:$B=E142),0)),"")</f>
        <v/>
      </c>
      <c r="L142" s="4">
        <f>IFERROR(INDEX(Model_Pricing!$E:$E,MATCH(1,(Model_Pricing!$A:$A=D142)*(Model_Pricing!$B:$B=E142),0)),"")</f>
        <v/>
      </c>
      <c r="M142" s="4">
        <f>IF(J142="","",H142/1000000*K142)</f>
        <v/>
      </c>
      <c r="N142" s="4">
        <f>IF(J142="","",I142/1000000*L142)</f>
        <v/>
      </c>
      <c r="O142" s="4">
        <f>IF(J142="","",M142+N142)</f>
        <v/>
      </c>
    </row>
    <row r="143">
      <c r="A143" s="2" t="n"/>
      <c r="H143" s="3" t="n"/>
      <c r="I143" s="3" t="n"/>
      <c r="J143" s="3">
        <f>IF(OR(H143&lt;&gt;"",I143&lt;&gt;""),N(H143)+N(I143),"")</f>
        <v/>
      </c>
      <c r="K143" s="4">
        <f>IFERROR(INDEX(Model_Pricing!$D:$D,MATCH(1,(Model_Pricing!$A:$A=D143)*(Model_Pricing!$B:$B=E143),0)),"")</f>
        <v/>
      </c>
      <c r="L143" s="4">
        <f>IFERROR(INDEX(Model_Pricing!$E:$E,MATCH(1,(Model_Pricing!$A:$A=D143)*(Model_Pricing!$B:$B=E143),0)),"")</f>
        <v/>
      </c>
      <c r="M143" s="4">
        <f>IF(J143="","",H143/1000000*K143)</f>
        <v/>
      </c>
      <c r="N143" s="4">
        <f>IF(J143="","",I143/1000000*L143)</f>
        <v/>
      </c>
      <c r="O143" s="4">
        <f>IF(J143="","",M143+N143)</f>
        <v/>
      </c>
    </row>
    <row r="144">
      <c r="A144" s="2" t="n"/>
      <c r="H144" s="3" t="n"/>
      <c r="I144" s="3" t="n"/>
      <c r="J144" s="3">
        <f>IF(OR(H144&lt;&gt;"",I144&lt;&gt;""),N(H144)+N(I144),"")</f>
        <v/>
      </c>
      <c r="K144" s="4">
        <f>IFERROR(INDEX(Model_Pricing!$D:$D,MATCH(1,(Model_Pricing!$A:$A=D144)*(Model_Pricing!$B:$B=E144),0)),"")</f>
        <v/>
      </c>
      <c r="L144" s="4">
        <f>IFERROR(INDEX(Model_Pricing!$E:$E,MATCH(1,(Model_Pricing!$A:$A=D144)*(Model_Pricing!$B:$B=E144),0)),"")</f>
        <v/>
      </c>
      <c r="M144" s="4">
        <f>IF(J144="","",H144/1000000*K144)</f>
        <v/>
      </c>
      <c r="N144" s="4">
        <f>IF(J144="","",I144/1000000*L144)</f>
        <v/>
      </c>
      <c r="O144" s="4">
        <f>IF(J144="","",M144+N144)</f>
        <v/>
      </c>
    </row>
    <row r="145">
      <c r="A145" s="2" t="n"/>
      <c r="H145" s="3" t="n"/>
      <c r="I145" s="3" t="n"/>
      <c r="J145" s="3">
        <f>IF(OR(H145&lt;&gt;"",I145&lt;&gt;""),N(H145)+N(I145),"")</f>
        <v/>
      </c>
      <c r="K145" s="4">
        <f>IFERROR(INDEX(Model_Pricing!$D:$D,MATCH(1,(Model_Pricing!$A:$A=D145)*(Model_Pricing!$B:$B=E145),0)),"")</f>
        <v/>
      </c>
      <c r="L145" s="4">
        <f>IFERROR(INDEX(Model_Pricing!$E:$E,MATCH(1,(Model_Pricing!$A:$A=D145)*(Model_Pricing!$B:$B=E145),0)),"")</f>
        <v/>
      </c>
      <c r="M145" s="4">
        <f>IF(J145="","",H145/1000000*K145)</f>
        <v/>
      </c>
      <c r="N145" s="4">
        <f>IF(J145="","",I145/1000000*L145)</f>
        <v/>
      </c>
      <c r="O145" s="4">
        <f>IF(J145="","",M145+N145)</f>
        <v/>
      </c>
    </row>
    <row r="146">
      <c r="A146" s="2" t="n"/>
      <c r="H146" s="3" t="n"/>
      <c r="I146" s="3" t="n"/>
      <c r="J146" s="3">
        <f>IF(OR(H146&lt;&gt;"",I146&lt;&gt;""),N(H146)+N(I146),"")</f>
        <v/>
      </c>
      <c r="K146" s="4">
        <f>IFERROR(INDEX(Model_Pricing!$D:$D,MATCH(1,(Model_Pricing!$A:$A=D146)*(Model_Pricing!$B:$B=E146),0)),"")</f>
        <v/>
      </c>
      <c r="L146" s="4">
        <f>IFERROR(INDEX(Model_Pricing!$E:$E,MATCH(1,(Model_Pricing!$A:$A=D146)*(Model_Pricing!$B:$B=E146),0)),"")</f>
        <v/>
      </c>
      <c r="M146" s="4">
        <f>IF(J146="","",H146/1000000*K146)</f>
        <v/>
      </c>
      <c r="N146" s="4">
        <f>IF(J146="","",I146/1000000*L146)</f>
        <v/>
      </c>
      <c r="O146" s="4">
        <f>IF(J146="","",M146+N146)</f>
        <v/>
      </c>
    </row>
    <row r="147">
      <c r="A147" s="2" t="n"/>
      <c r="H147" s="3" t="n"/>
      <c r="I147" s="3" t="n"/>
      <c r="J147" s="3">
        <f>IF(OR(H147&lt;&gt;"",I147&lt;&gt;""),N(H147)+N(I147),"")</f>
        <v/>
      </c>
      <c r="K147" s="4">
        <f>IFERROR(INDEX(Model_Pricing!$D:$D,MATCH(1,(Model_Pricing!$A:$A=D147)*(Model_Pricing!$B:$B=E147),0)),"")</f>
        <v/>
      </c>
      <c r="L147" s="4">
        <f>IFERROR(INDEX(Model_Pricing!$E:$E,MATCH(1,(Model_Pricing!$A:$A=D147)*(Model_Pricing!$B:$B=E147),0)),"")</f>
        <v/>
      </c>
      <c r="M147" s="4">
        <f>IF(J147="","",H147/1000000*K147)</f>
        <v/>
      </c>
      <c r="N147" s="4">
        <f>IF(J147="","",I147/1000000*L147)</f>
        <v/>
      </c>
      <c r="O147" s="4">
        <f>IF(J147="","",M147+N147)</f>
        <v/>
      </c>
    </row>
    <row r="148">
      <c r="A148" s="2" t="n"/>
      <c r="H148" s="3" t="n"/>
      <c r="I148" s="3" t="n"/>
      <c r="J148" s="3">
        <f>IF(OR(H148&lt;&gt;"",I148&lt;&gt;""),N(H148)+N(I148),"")</f>
        <v/>
      </c>
      <c r="K148" s="4">
        <f>IFERROR(INDEX(Model_Pricing!$D:$D,MATCH(1,(Model_Pricing!$A:$A=D148)*(Model_Pricing!$B:$B=E148),0)),"")</f>
        <v/>
      </c>
      <c r="L148" s="4">
        <f>IFERROR(INDEX(Model_Pricing!$E:$E,MATCH(1,(Model_Pricing!$A:$A=D148)*(Model_Pricing!$B:$B=E148),0)),"")</f>
        <v/>
      </c>
      <c r="M148" s="4">
        <f>IF(J148="","",H148/1000000*K148)</f>
        <v/>
      </c>
      <c r="N148" s="4">
        <f>IF(J148="","",I148/1000000*L148)</f>
        <v/>
      </c>
      <c r="O148" s="4">
        <f>IF(J148="","",M148+N148)</f>
        <v/>
      </c>
    </row>
    <row r="149">
      <c r="A149" s="2" t="n"/>
      <c r="H149" s="3" t="n"/>
      <c r="I149" s="3" t="n"/>
      <c r="J149" s="3">
        <f>IF(OR(H149&lt;&gt;"",I149&lt;&gt;""),N(H149)+N(I149),"")</f>
        <v/>
      </c>
      <c r="K149" s="4">
        <f>IFERROR(INDEX(Model_Pricing!$D:$D,MATCH(1,(Model_Pricing!$A:$A=D149)*(Model_Pricing!$B:$B=E149),0)),"")</f>
        <v/>
      </c>
      <c r="L149" s="4">
        <f>IFERROR(INDEX(Model_Pricing!$E:$E,MATCH(1,(Model_Pricing!$A:$A=D149)*(Model_Pricing!$B:$B=E149),0)),"")</f>
        <v/>
      </c>
      <c r="M149" s="4">
        <f>IF(J149="","",H149/1000000*K149)</f>
        <v/>
      </c>
      <c r="N149" s="4">
        <f>IF(J149="","",I149/1000000*L149)</f>
        <v/>
      </c>
      <c r="O149" s="4">
        <f>IF(J149="","",M149+N149)</f>
        <v/>
      </c>
    </row>
    <row r="150">
      <c r="A150" s="2" t="n"/>
      <c r="H150" s="3" t="n"/>
      <c r="I150" s="3" t="n"/>
      <c r="J150" s="3">
        <f>IF(OR(H150&lt;&gt;"",I150&lt;&gt;""),N(H150)+N(I150),"")</f>
        <v/>
      </c>
      <c r="K150" s="4">
        <f>IFERROR(INDEX(Model_Pricing!$D:$D,MATCH(1,(Model_Pricing!$A:$A=D150)*(Model_Pricing!$B:$B=E150),0)),"")</f>
        <v/>
      </c>
      <c r="L150" s="4">
        <f>IFERROR(INDEX(Model_Pricing!$E:$E,MATCH(1,(Model_Pricing!$A:$A=D150)*(Model_Pricing!$B:$B=E150),0)),"")</f>
        <v/>
      </c>
      <c r="M150" s="4">
        <f>IF(J150="","",H150/1000000*K150)</f>
        <v/>
      </c>
      <c r="N150" s="4">
        <f>IF(J150="","",I150/1000000*L150)</f>
        <v/>
      </c>
      <c r="O150" s="4">
        <f>IF(J150="","",M150+N150)</f>
        <v/>
      </c>
    </row>
    <row r="151">
      <c r="A151" s="2" t="n"/>
      <c r="H151" s="3" t="n"/>
      <c r="I151" s="3" t="n"/>
      <c r="J151" s="3">
        <f>IF(OR(H151&lt;&gt;"",I151&lt;&gt;""),N(H151)+N(I151),"")</f>
        <v/>
      </c>
      <c r="K151" s="4">
        <f>IFERROR(INDEX(Model_Pricing!$D:$D,MATCH(1,(Model_Pricing!$A:$A=D151)*(Model_Pricing!$B:$B=E151),0)),"")</f>
        <v/>
      </c>
      <c r="L151" s="4">
        <f>IFERROR(INDEX(Model_Pricing!$E:$E,MATCH(1,(Model_Pricing!$A:$A=D151)*(Model_Pricing!$B:$B=E151),0)),"")</f>
        <v/>
      </c>
      <c r="M151" s="4">
        <f>IF(J151="","",H151/1000000*K151)</f>
        <v/>
      </c>
      <c r="N151" s="4">
        <f>IF(J151="","",I151/1000000*L151)</f>
        <v/>
      </c>
      <c r="O151" s="4">
        <f>IF(J151="","",M151+N151)</f>
        <v/>
      </c>
    </row>
    <row r="152">
      <c r="A152" s="2" t="n"/>
      <c r="H152" s="3" t="n"/>
      <c r="I152" s="3" t="n"/>
      <c r="J152" s="3">
        <f>IF(OR(H152&lt;&gt;"",I152&lt;&gt;""),N(H152)+N(I152),"")</f>
        <v/>
      </c>
      <c r="K152" s="4">
        <f>IFERROR(INDEX(Model_Pricing!$D:$D,MATCH(1,(Model_Pricing!$A:$A=D152)*(Model_Pricing!$B:$B=E152),0)),"")</f>
        <v/>
      </c>
      <c r="L152" s="4">
        <f>IFERROR(INDEX(Model_Pricing!$E:$E,MATCH(1,(Model_Pricing!$A:$A=D152)*(Model_Pricing!$B:$B=E152),0)),"")</f>
        <v/>
      </c>
      <c r="M152" s="4">
        <f>IF(J152="","",H152/1000000*K152)</f>
        <v/>
      </c>
      <c r="N152" s="4">
        <f>IF(J152="","",I152/1000000*L152)</f>
        <v/>
      </c>
      <c r="O152" s="4">
        <f>IF(J152="","",M152+N152)</f>
        <v/>
      </c>
    </row>
    <row r="153">
      <c r="A153" s="2" t="n"/>
      <c r="H153" s="3" t="n"/>
      <c r="I153" s="3" t="n"/>
      <c r="J153" s="3">
        <f>IF(OR(H153&lt;&gt;"",I153&lt;&gt;""),N(H153)+N(I153),"")</f>
        <v/>
      </c>
      <c r="K153" s="4">
        <f>IFERROR(INDEX(Model_Pricing!$D:$D,MATCH(1,(Model_Pricing!$A:$A=D153)*(Model_Pricing!$B:$B=E153),0)),"")</f>
        <v/>
      </c>
      <c r="L153" s="4">
        <f>IFERROR(INDEX(Model_Pricing!$E:$E,MATCH(1,(Model_Pricing!$A:$A=D153)*(Model_Pricing!$B:$B=E153),0)),"")</f>
        <v/>
      </c>
      <c r="M153" s="4">
        <f>IF(J153="","",H153/1000000*K153)</f>
        <v/>
      </c>
      <c r="N153" s="4">
        <f>IF(J153="","",I153/1000000*L153)</f>
        <v/>
      </c>
      <c r="O153" s="4">
        <f>IF(J153="","",M153+N153)</f>
        <v/>
      </c>
    </row>
    <row r="154">
      <c r="A154" s="2" t="n"/>
      <c r="H154" s="3" t="n"/>
      <c r="I154" s="3" t="n"/>
      <c r="J154" s="3">
        <f>IF(OR(H154&lt;&gt;"",I154&lt;&gt;""),N(H154)+N(I154),"")</f>
        <v/>
      </c>
      <c r="K154" s="4">
        <f>IFERROR(INDEX(Model_Pricing!$D:$D,MATCH(1,(Model_Pricing!$A:$A=D154)*(Model_Pricing!$B:$B=E154),0)),"")</f>
        <v/>
      </c>
      <c r="L154" s="4">
        <f>IFERROR(INDEX(Model_Pricing!$E:$E,MATCH(1,(Model_Pricing!$A:$A=D154)*(Model_Pricing!$B:$B=E154),0)),"")</f>
        <v/>
      </c>
      <c r="M154" s="4">
        <f>IF(J154="","",H154/1000000*K154)</f>
        <v/>
      </c>
      <c r="N154" s="4">
        <f>IF(J154="","",I154/1000000*L154)</f>
        <v/>
      </c>
      <c r="O154" s="4">
        <f>IF(J154="","",M154+N154)</f>
        <v/>
      </c>
    </row>
    <row r="155">
      <c r="A155" s="2" t="n"/>
      <c r="H155" s="3" t="n"/>
      <c r="I155" s="3" t="n"/>
      <c r="J155" s="3">
        <f>IF(OR(H155&lt;&gt;"",I155&lt;&gt;""),N(H155)+N(I155),"")</f>
        <v/>
      </c>
      <c r="K155" s="4">
        <f>IFERROR(INDEX(Model_Pricing!$D:$D,MATCH(1,(Model_Pricing!$A:$A=D155)*(Model_Pricing!$B:$B=E155),0)),"")</f>
        <v/>
      </c>
      <c r="L155" s="4">
        <f>IFERROR(INDEX(Model_Pricing!$E:$E,MATCH(1,(Model_Pricing!$A:$A=D155)*(Model_Pricing!$B:$B=E155),0)),"")</f>
        <v/>
      </c>
      <c r="M155" s="4">
        <f>IF(J155="","",H155/1000000*K155)</f>
        <v/>
      </c>
      <c r="N155" s="4">
        <f>IF(J155="","",I155/1000000*L155)</f>
        <v/>
      </c>
      <c r="O155" s="4">
        <f>IF(J155="","",M155+N155)</f>
        <v/>
      </c>
    </row>
    <row r="156">
      <c r="A156" s="2" t="n"/>
      <c r="H156" s="3" t="n"/>
      <c r="I156" s="3" t="n"/>
      <c r="J156" s="3">
        <f>IF(OR(H156&lt;&gt;"",I156&lt;&gt;""),N(H156)+N(I156),"")</f>
        <v/>
      </c>
      <c r="K156" s="4">
        <f>IFERROR(INDEX(Model_Pricing!$D:$D,MATCH(1,(Model_Pricing!$A:$A=D156)*(Model_Pricing!$B:$B=E156),0)),"")</f>
        <v/>
      </c>
      <c r="L156" s="4">
        <f>IFERROR(INDEX(Model_Pricing!$E:$E,MATCH(1,(Model_Pricing!$A:$A=D156)*(Model_Pricing!$B:$B=E156),0)),"")</f>
        <v/>
      </c>
      <c r="M156" s="4">
        <f>IF(J156="","",H156/1000000*K156)</f>
        <v/>
      </c>
      <c r="N156" s="4">
        <f>IF(J156="","",I156/1000000*L156)</f>
        <v/>
      </c>
      <c r="O156" s="4">
        <f>IF(J156="","",M156+N156)</f>
        <v/>
      </c>
    </row>
    <row r="157">
      <c r="A157" s="2" t="n"/>
      <c r="H157" s="3" t="n"/>
      <c r="I157" s="3" t="n"/>
      <c r="J157" s="3">
        <f>IF(OR(H157&lt;&gt;"",I157&lt;&gt;""),N(H157)+N(I157),"")</f>
        <v/>
      </c>
      <c r="K157" s="4">
        <f>IFERROR(INDEX(Model_Pricing!$D:$D,MATCH(1,(Model_Pricing!$A:$A=D157)*(Model_Pricing!$B:$B=E157),0)),"")</f>
        <v/>
      </c>
      <c r="L157" s="4">
        <f>IFERROR(INDEX(Model_Pricing!$E:$E,MATCH(1,(Model_Pricing!$A:$A=D157)*(Model_Pricing!$B:$B=E157),0)),"")</f>
        <v/>
      </c>
      <c r="M157" s="4">
        <f>IF(J157="","",H157/1000000*K157)</f>
        <v/>
      </c>
      <c r="N157" s="4">
        <f>IF(J157="","",I157/1000000*L157)</f>
        <v/>
      </c>
      <c r="O157" s="4">
        <f>IF(J157="","",M157+N157)</f>
        <v/>
      </c>
    </row>
    <row r="158">
      <c r="A158" s="2" t="n"/>
      <c r="H158" s="3" t="n"/>
      <c r="I158" s="3" t="n"/>
      <c r="J158" s="3">
        <f>IF(OR(H158&lt;&gt;"",I158&lt;&gt;""),N(H158)+N(I158),"")</f>
        <v/>
      </c>
      <c r="K158" s="4">
        <f>IFERROR(INDEX(Model_Pricing!$D:$D,MATCH(1,(Model_Pricing!$A:$A=D158)*(Model_Pricing!$B:$B=E158),0)),"")</f>
        <v/>
      </c>
      <c r="L158" s="4">
        <f>IFERROR(INDEX(Model_Pricing!$E:$E,MATCH(1,(Model_Pricing!$A:$A=D158)*(Model_Pricing!$B:$B=E158),0)),"")</f>
        <v/>
      </c>
      <c r="M158" s="4">
        <f>IF(J158="","",H158/1000000*K158)</f>
        <v/>
      </c>
      <c r="N158" s="4">
        <f>IF(J158="","",I158/1000000*L158)</f>
        <v/>
      </c>
      <c r="O158" s="4">
        <f>IF(J158="","",M158+N158)</f>
        <v/>
      </c>
    </row>
    <row r="159">
      <c r="A159" s="2" t="n"/>
      <c r="H159" s="3" t="n"/>
      <c r="I159" s="3" t="n"/>
      <c r="J159" s="3">
        <f>IF(OR(H159&lt;&gt;"",I159&lt;&gt;""),N(H159)+N(I159),"")</f>
        <v/>
      </c>
      <c r="K159" s="4">
        <f>IFERROR(INDEX(Model_Pricing!$D:$D,MATCH(1,(Model_Pricing!$A:$A=D159)*(Model_Pricing!$B:$B=E159),0)),"")</f>
        <v/>
      </c>
      <c r="L159" s="4">
        <f>IFERROR(INDEX(Model_Pricing!$E:$E,MATCH(1,(Model_Pricing!$A:$A=D159)*(Model_Pricing!$B:$B=E159),0)),"")</f>
        <v/>
      </c>
      <c r="M159" s="4">
        <f>IF(J159="","",H159/1000000*K159)</f>
        <v/>
      </c>
      <c r="N159" s="4">
        <f>IF(J159="","",I159/1000000*L159)</f>
        <v/>
      </c>
      <c r="O159" s="4">
        <f>IF(J159="","",M159+N159)</f>
        <v/>
      </c>
    </row>
    <row r="160">
      <c r="A160" s="2" t="n"/>
      <c r="H160" s="3" t="n"/>
      <c r="I160" s="3" t="n"/>
      <c r="J160" s="3">
        <f>IF(OR(H160&lt;&gt;"",I160&lt;&gt;""),N(H160)+N(I160),"")</f>
        <v/>
      </c>
      <c r="K160" s="4">
        <f>IFERROR(INDEX(Model_Pricing!$D:$D,MATCH(1,(Model_Pricing!$A:$A=D160)*(Model_Pricing!$B:$B=E160),0)),"")</f>
        <v/>
      </c>
      <c r="L160" s="4">
        <f>IFERROR(INDEX(Model_Pricing!$E:$E,MATCH(1,(Model_Pricing!$A:$A=D160)*(Model_Pricing!$B:$B=E160),0)),"")</f>
        <v/>
      </c>
      <c r="M160" s="4">
        <f>IF(J160="","",H160/1000000*K160)</f>
        <v/>
      </c>
      <c r="N160" s="4">
        <f>IF(J160="","",I160/1000000*L160)</f>
        <v/>
      </c>
      <c r="O160" s="4">
        <f>IF(J160="","",M160+N160)</f>
        <v/>
      </c>
    </row>
    <row r="161">
      <c r="A161" s="2" t="n"/>
      <c r="H161" s="3" t="n"/>
      <c r="I161" s="3" t="n"/>
      <c r="J161" s="3">
        <f>IF(OR(H161&lt;&gt;"",I161&lt;&gt;""),N(H161)+N(I161),"")</f>
        <v/>
      </c>
      <c r="K161" s="4">
        <f>IFERROR(INDEX(Model_Pricing!$D:$D,MATCH(1,(Model_Pricing!$A:$A=D161)*(Model_Pricing!$B:$B=E161),0)),"")</f>
        <v/>
      </c>
      <c r="L161" s="4">
        <f>IFERROR(INDEX(Model_Pricing!$E:$E,MATCH(1,(Model_Pricing!$A:$A=D161)*(Model_Pricing!$B:$B=E161),0)),"")</f>
        <v/>
      </c>
      <c r="M161" s="4">
        <f>IF(J161="","",H161/1000000*K161)</f>
        <v/>
      </c>
      <c r="N161" s="4">
        <f>IF(J161="","",I161/1000000*L161)</f>
        <v/>
      </c>
      <c r="O161" s="4">
        <f>IF(J161="","",M161+N161)</f>
        <v/>
      </c>
    </row>
    <row r="162">
      <c r="A162" s="2" t="n"/>
      <c r="H162" s="3" t="n"/>
      <c r="I162" s="3" t="n"/>
      <c r="J162" s="3">
        <f>IF(OR(H162&lt;&gt;"",I162&lt;&gt;""),N(H162)+N(I162),"")</f>
        <v/>
      </c>
      <c r="K162" s="4">
        <f>IFERROR(INDEX(Model_Pricing!$D:$D,MATCH(1,(Model_Pricing!$A:$A=D162)*(Model_Pricing!$B:$B=E162),0)),"")</f>
        <v/>
      </c>
      <c r="L162" s="4">
        <f>IFERROR(INDEX(Model_Pricing!$E:$E,MATCH(1,(Model_Pricing!$A:$A=D162)*(Model_Pricing!$B:$B=E162),0)),"")</f>
        <v/>
      </c>
      <c r="M162" s="4">
        <f>IF(J162="","",H162/1000000*K162)</f>
        <v/>
      </c>
      <c r="N162" s="4">
        <f>IF(J162="","",I162/1000000*L162)</f>
        <v/>
      </c>
      <c r="O162" s="4">
        <f>IF(J162="","",M162+N162)</f>
        <v/>
      </c>
    </row>
    <row r="163">
      <c r="A163" s="2" t="n"/>
      <c r="H163" s="3" t="n"/>
      <c r="I163" s="3" t="n"/>
      <c r="J163" s="3">
        <f>IF(OR(H163&lt;&gt;"",I163&lt;&gt;""),N(H163)+N(I163),"")</f>
        <v/>
      </c>
      <c r="K163" s="4">
        <f>IFERROR(INDEX(Model_Pricing!$D:$D,MATCH(1,(Model_Pricing!$A:$A=D163)*(Model_Pricing!$B:$B=E163),0)),"")</f>
        <v/>
      </c>
      <c r="L163" s="4">
        <f>IFERROR(INDEX(Model_Pricing!$E:$E,MATCH(1,(Model_Pricing!$A:$A=D163)*(Model_Pricing!$B:$B=E163),0)),"")</f>
        <v/>
      </c>
      <c r="M163" s="4">
        <f>IF(J163="","",H163/1000000*K163)</f>
        <v/>
      </c>
      <c r="N163" s="4">
        <f>IF(J163="","",I163/1000000*L163)</f>
        <v/>
      </c>
      <c r="O163" s="4">
        <f>IF(J163="","",M163+N163)</f>
        <v/>
      </c>
    </row>
    <row r="164">
      <c r="A164" s="2" t="n"/>
      <c r="H164" s="3" t="n"/>
      <c r="I164" s="3" t="n"/>
      <c r="J164" s="3">
        <f>IF(OR(H164&lt;&gt;"",I164&lt;&gt;""),N(H164)+N(I164),"")</f>
        <v/>
      </c>
      <c r="K164" s="4">
        <f>IFERROR(INDEX(Model_Pricing!$D:$D,MATCH(1,(Model_Pricing!$A:$A=D164)*(Model_Pricing!$B:$B=E164),0)),"")</f>
        <v/>
      </c>
      <c r="L164" s="4">
        <f>IFERROR(INDEX(Model_Pricing!$E:$E,MATCH(1,(Model_Pricing!$A:$A=D164)*(Model_Pricing!$B:$B=E164),0)),"")</f>
        <v/>
      </c>
      <c r="M164" s="4">
        <f>IF(J164="","",H164/1000000*K164)</f>
        <v/>
      </c>
      <c r="N164" s="4">
        <f>IF(J164="","",I164/1000000*L164)</f>
        <v/>
      </c>
      <c r="O164" s="4">
        <f>IF(J164="","",M164+N164)</f>
        <v/>
      </c>
    </row>
    <row r="165">
      <c r="A165" s="2" t="n"/>
      <c r="H165" s="3" t="n"/>
      <c r="I165" s="3" t="n"/>
      <c r="J165" s="3">
        <f>IF(OR(H165&lt;&gt;"",I165&lt;&gt;""),N(H165)+N(I165),"")</f>
        <v/>
      </c>
      <c r="K165" s="4">
        <f>IFERROR(INDEX(Model_Pricing!$D:$D,MATCH(1,(Model_Pricing!$A:$A=D165)*(Model_Pricing!$B:$B=E165),0)),"")</f>
        <v/>
      </c>
      <c r="L165" s="4">
        <f>IFERROR(INDEX(Model_Pricing!$E:$E,MATCH(1,(Model_Pricing!$A:$A=D165)*(Model_Pricing!$B:$B=E165),0)),"")</f>
        <v/>
      </c>
      <c r="M165" s="4">
        <f>IF(J165="","",H165/1000000*K165)</f>
        <v/>
      </c>
      <c r="N165" s="4">
        <f>IF(J165="","",I165/1000000*L165)</f>
        <v/>
      </c>
      <c r="O165" s="4">
        <f>IF(J165="","",M165+N165)</f>
        <v/>
      </c>
    </row>
    <row r="166">
      <c r="A166" s="2" t="n"/>
      <c r="H166" s="3" t="n"/>
      <c r="I166" s="3" t="n"/>
      <c r="J166" s="3">
        <f>IF(OR(H166&lt;&gt;"",I166&lt;&gt;""),N(H166)+N(I166),"")</f>
        <v/>
      </c>
      <c r="K166" s="4">
        <f>IFERROR(INDEX(Model_Pricing!$D:$D,MATCH(1,(Model_Pricing!$A:$A=D166)*(Model_Pricing!$B:$B=E166),0)),"")</f>
        <v/>
      </c>
      <c r="L166" s="4">
        <f>IFERROR(INDEX(Model_Pricing!$E:$E,MATCH(1,(Model_Pricing!$A:$A=D166)*(Model_Pricing!$B:$B=E166),0)),"")</f>
        <v/>
      </c>
      <c r="M166" s="4">
        <f>IF(J166="","",H166/1000000*K166)</f>
        <v/>
      </c>
      <c r="N166" s="4">
        <f>IF(J166="","",I166/1000000*L166)</f>
        <v/>
      </c>
      <c r="O166" s="4">
        <f>IF(J166="","",M166+N166)</f>
        <v/>
      </c>
    </row>
    <row r="167">
      <c r="A167" s="2" t="n"/>
      <c r="H167" s="3" t="n"/>
      <c r="I167" s="3" t="n"/>
      <c r="J167" s="3">
        <f>IF(OR(H167&lt;&gt;"",I167&lt;&gt;""),N(H167)+N(I167),"")</f>
        <v/>
      </c>
      <c r="K167" s="4">
        <f>IFERROR(INDEX(Model_Pricing!$D:$D,MATCH(1,(Model_Pricing!$A:$A=D167)*(Model_Pricing!$B:$B=E167),0)),"")</f>
        <v/>
      </c>
      <c r="L167" s="4">
        <f>IFERROR(INDEX(Model_Pricing!$E:$E,MATCH(1,(Model_Pricing!$A:$A=D167)*(Model_Pricing!$B:$B=E167),0)),"")</f>
        <v/>
      </c>
      <c r="M167" s="4">
        <f>IF(J167="","",H167/1000000*K167)</f>
        <v/>
      </c>
      <c r="N167" s="4">
        <f>IF(J167="","",I167/1000000*L167)</f>
        <v/>
      </c>
      <c r="O167" s="4">
        <f>IF(J167="","",M167+N167)</f>
        <v/>
      </c>
    </row>
    <row r="168">
      <c r="A168" s="2" t="n"/>
      <c r="H168" s="3" t="n"/>
      <c r="I168" s="3" t="n"/>
      <c r="J168" s="3">
        <f>IF(OR(H168&lt;&gt;"",I168&lt;&gt;""),N(H168)+N(I168),"")</f>
        <v/>
      </c>
      <c r="K168" s="4">
        <f>IFERROR(INDEX(Model_Pricing!$D:$D,MATCH(1,(Model_Pricing!$A:$A=D168)*(Model_Pricing!$B:$B=E168),0)),"")</f>
        <v/>
      </c>
      <c r="L168" s="4">
        <f>IFERROR(INDEX(Model_Pricing!$E:$E,MATCH(1,(Model_Pricing!$A:$A=D168)*(Model_Pricing!$B:$B=E168),0)),"")</f>
        <v/>
      </c>
      <c r="M168" s="4">
        <f>IF(J168="","",H168/1000000*K168)</f>
        <v/>
      </c>
      <c r="N168" s="4">
        <f>IF(J168="","",I168/1000000*L168)</f>
        <v/>
      </c>
      <c r="O168" s="4">
        <f>IF(J168="","",M168+N168)</f>
        <v/>
      </c>
    </row>
    <row r="169">
      <c r="A169" s="2" t="n"/>
      <c r="H169" s="3" t="n"/>
      <c r="I169" s="3" t="n"/>
      <c r="J169" s="3">
        <f>IF(OR(H169&lt;&gt;"",I169&lt;&gt;""),N(H169)+N(I169),"")</f>
        <v/>
      </c>
      <c r="K169" s="4">
        <f>IFERROR(INDEX(Model_Pricing!$D:$D,MATCH(1,(Model_Pricing!$A:$A=D169)*(Model_Pricing!$B:$B=E169),0)),"")</f>
        <v/>
      </c>
      <c r="L169" s="4">
        <f>IFERROR(INDEX(Model_Pricing!$E:$E,MATCH(1,(Model_Pricing!$A:$A=D169)*(Model_Pricing!$B:$B=E169),0)),"")</f>
        <v/>
      </c>
      <c r="M169" s="4">
        <f>IF(J169="","",H169/1000000*K169)</f>
        <v/>
      </c>
      <c r="N169" s="4">
        <f>IF(J169="","",I169/1000000*L169)</f>
        <v/>
      </c>
      <c r="O169" s="4">
        <f>IF(J169="","",M169+N169)</f>
        <v/>
      </c>
    </row>
    <row r="170">
      <c r="A170" s="2" t="n"/>
      <c r="H170" s="3" t="n"/>
      <c r="I170" s="3" t="n"/>
      <c r="J170" s="3">
        <f>IF(OR(H170&lt;&gt;"",I170&lt;&gt;""),N(H170)+N(I170),"")</f>
        <v/>
      </c>
      <c r="K170" s="4">
        <f>IFERROR(INDEX(Model_Pricing!$D:$D,MATCH(1,(Model_Pricing!$A:$A=D170)*(Model_Pricing!$B:$B=E170),0)),"")</f>
        <v/>
      </c>
      <c r="L170" s="4">
        <f>IFERROR(INDEX(Model_Pricing!$E:$E,MATCH(1,(Model_Pricing!$A:$A=D170)*(Model_Pricing!$B:$B=E170),0)),"")</f>
        <v/>
      </c>
      <c r="M170" s="4">
        <f>IF(J170="","",H170/1000000*K170)</f>
        <v/>
      </c>
      <c r="N170" s="4">
        <f>IF(J170="","",I170/1000000*L170)</f>
        <v/>
      </c>
      <c r="O170" s="4">
        <f>IF(J170="","",M170+N170)</f>
        <v/>
      </c>
    </row>
    <row r="171">
      <c r="A171" s="2" t="n"/>
      <c r="H171" s="3" t="n"/>
      <c r="I171" s="3" t="n"/>
      <c r="J171" s="3">
        <f>IF(OR(H171&lt;&gt;"",I171&lt;&gt;""),N(H171)+N(I171),"")</f>
        <v/>
      </c>
      <c r="K171" s="4">
        <f>IFERROR(INDEX(Model_Pricing!$D:$D,MATCH(1,(Model_Pricing!$A:$A=D171)*(Model_Pricing!$B:$B=E171),0)),"")</f>
        <v/>
      </c>
      <c r="L171" s="4">
        <f>IFERROR(INDEX(Model_Pricing!$E:$E,MATCH(1,(Model_Pricing!$A:$A=D171)*(Model_Pricing!$B:$B=E171),0)),"")</f>
        <v/>
      </c>
      <c r="M171" s="4">
        <f>IF(J171="","",H171/1000000*K171)</f>
        <v/>
      </c>
      <c r="N171" s="4">
        <f>IF(J171="","",I171/1000000*L171)</f>
        <v/>
      </c>
      <c r="O171" s="4">
        <f>IF(J171="","",M171+N171)</f>
        <v/>
      </c>
    </row>
    <row r="172">
      <c r="A172" s="2" t="n"/>
      <c r="H172" s="3" t="n"/>
      <c r="I172" s="3" t="n"/>
      <c r="J172" s="3">
        <f>IF(OR(H172&lt;&gt;"",I172&lt;&gt;""),N(H172)+N(I172),"")</f>
        <v/>
      </c>
      <c r="K172" s="4">
        <f>IFERROR(INDEX(Model_Pricing!$D:$D,MATCH(1,(Model_Pricing!$A:$A=D172)*(Model_Pricing!$B:$B=E172),0)),"")</f>
        <v/>
      </c>
      <c r="L172" s="4">
        <f>IFERROR(INDEX(Model_Pricing!$E:$E,MATCH(1,(Model_Pricing!$A:$A=D172)*(Model_Pricing!$B:$B=E172),0)),"")</f>
        <v/>
      </c>
      <c r="M172" s="4">
        <f>IF(J172="","",H172/1000000*K172)</f>
        <v/>
      </c>
      <c r="N172" s="4">
        <f>IF(J172="","",I172/1000000*L172)</f>
        <v/>
      </c>
      <c r="O172" s="4">
        <f>IF(J172="","",M172+N172)</f>
        <v/>
      </c>
    </row>
    <row r="173">
      <c r="A173" s="2" t="n"/>
      <c r="H173" s="3" t="n"/>
      <c r="I173" s="3" t="n"/>
      <c r="J173" s="3">
        <f>IF(OR(H173&lt;&gt;"",I173&lt;&gt;""),N(H173)+N(I173),"")</f>
        <v/>
      </c>
      <c r="K173" s="4">
        <f>IFERROR(INDEX(Model_Pricing!$D:$D,MATCH(1,(Model_Pricing!$A:$A=D173)*(Model_Pricing!$B:$B=E173),0)),"")</f>
        <v/>
      </c>
      <c r="L173" s="4">
        <f>IFERROR(INDEX(Model_Pricing!$E:$E,MATCH(1,(Model_Pricing!$A:$A=D173)*(Model_Pricing!$B:$B=E173),0)),"")</f>
        <v/>
      </c>
      <c r="M173" s="4">
        <f>IF(J173="","",H173/1000000*K173)</f>
        <v/>
      </c>
      <c r="N173" s="4">
        <f>IF(J173="","",I173/1000000*L173)</f>
        <v/>
      </c>
      <c r="O173" s="4">
        <f>IF(J173="","",M173+N173)</f>
        <v/>
      </c>
    </row>
    <row r="174">
      <c r="A174" s="2" t="n"/>
      <c r="H174" s="3" t="n"/>
      <c r="I174" s="3" t="n"/>
      <c r="J174" s="3">
        <f>IF(OR(H174&lt;&gt;"",I174&lt;&gt;""),N(H174)+N(I174),"")</f>
        <v/>
      </c>
      <c r="K174" s="4">
        <f>IFERROR(INDEX(Model_Pricing!$D:$D,MATCH(1,(Model_Pricing!$A:$A=D174)*(Model_Pricing!$B:$B=E174),0)),"")</f>
        <v/>
      </c>
      <c r="L174" s="4">
        <f>IFERROR(INDEX(Model_Pricing!$E:$E,MATCH(1,(Model_Pricing!$A:$A=D174)*(Model_Pricing!$B:$B=E174),0)),"")</f>
        <v/>
      </c>
      <c r="M174" s="4">
        <f>IF(J174="","",H174/1000000*K174)</f>
        <v/>
      </c>
      <c r="N174" s="4">
        <f>IF(J174="","",I174/1000000*L174)</f>
        <v/>
      </c>
      <c r="O174" s="4">
        <f>IF(J174="","",M174+N174)</f>
        <v/>
      </c>
    </row>
    <row r="175">
      <c r="A175" s="2" t="n"/>
      <c r="H175" s="3" t="n"/>
      <c r="I175" s="3" t="n"/>
      <c r="J175" s="3">
        <f>IF(OR(H175&lt;&gt;"",I175&lt;&gt;""),N(H175)+N(I175),"")</f>
        <v/>
      </c>
      <c r="K175" s="4">
        <f>IFERROR(INDEX(Model_Pricing!$D:$D,MATCH(1,(Model_Pricing!$A:$A=D175)*(Model_Pricing!$B:$B=E175),0)),"")</f>
        <v/>
      </c>
      <c r="L175" s="4">
        <f>IFERROR(INDEX(Model_Pricing!$E:$E,MATCH(1,(Model_Pricing!$A:$A=D175)*(Model_Pricing!$B:$B=E175),0)),"")</f>
        <v/>
      </c>
      <c r="M175" s="4">
        <f>IF(J175="","",H175/1000000*K175)</f>
        <v/>
      </c>
      <c r="N175" s="4">
        <f>IF(J175="","",I175/1000000*L175)</f>
        <v/>
      </c>
      <c r="O175" s="4">
        <f>IF(J175="","",M175+N175)</f>
        <v/>
      </c>
    </row>
    <row r="176">
      <c r="A176" s="2" t="n"/>
      <c r="H176" s="3" t="n"/>
      <c r="I176" s="3" t="n"/>
      <c r="J176" s="3">
        <f>IF(OR(H176&lt;&gt;"",I176&lt;&gt;""),N(H176)+N(I176),"")</f>
        <v/>
      </c>
      <c r="K176" s="4">
        <f>IFERROR(INDEX(Model_Pricing!$D:$D,MATCH(1,(Model_Pricing!$A:$A=D176)*(Model_Pricing!$B:$B=E176),0)),"")</f>
        <v/>
      </c>
      <c r="L176" s="4">
        <f>IFERROR(INDEX(Model_Pricing!$E:$E,MATCH(1,(Model_Pricing!$A:$A=D176)*(Model_Pricing!$B:$B=E176),0)),"")</f>
        <v/>
      </c>
      <c r="M176" s="4">
        <f>IF(J176="","",H176/1000000*K176)</f>
        <v/>
      </c>
      <c r="N176" s="4">
        <f>IF(J176="","",I176/1000000*L176)</f>
        <v/>
      </c>
      <c r="O176" s="4">
        <f>IF(J176="","",M176+N176)</f>
        <v/>
      </c>
    </row>
    <row r="177">
      <c r="A177" s="2" t="n"/>
      <c r="H177" s="3" t="n"/>
      <c r="I177" s="3" t="n"/>
      <c r="J177" s="3">
        <f>IF(OR(H177&lt;&gt;"",I177&lt;&gt;""),N(H177)+N(I177),"")</f>
        <v/>
      </c>
      <c r="K177" s="4">
        <f>IFERROR(INDEX(Model_Pricing!$D:$D,MATCH(1,(Model_Pricing!$A:$A=D177)*(Model_Pricing!$B:$B=E177),0)),"")</f>
        <v/>
      </c>
      <c r="L177" s="4">
        <f>IFERROR(INDEX(Model_Pricing!$E:$E,MATCH(1,(Model_Pricing!$A:$A=D177)*(Model_Pricing!$B:$B=E177),0)),"")</f>
        <v/>
      </c>
      <c r="M177" s="4">
        <f>IF(J177="","",H177/1000000*K177)</f>
        <v/>
      </c>
      <c r="N177" s="4">
        <f>IF(J177="","",I177/1000000*L177)</f>
        <v/>
      </c>
      <c r="O177" s="4">
        <f>IF(J177="","",M177+N177)</f>
        <v/>
      </c>
    </row>
    <row r="178">
      <c r="A178" s="2" t="n"/>
      <c r="H178" s="3" t="n"/>
      <c r="I178" s="3" t="n"/>
      <c r="J178" s="3">
        <f>IF(OR(H178&lt;&gt;"",I178&lt;&gt;""),N(H178)+N(I178),"")</f>
        <v/>
      </c>
      <c r="K178" s="4">
        <f>IFERROR(INDEX(Model_Pricing!$D:$D,MATCH(1,(Model_Pricing!$A:$A=D178)*(Model_Pricing!$B:$B=E178),0)),"")</f>
        <v/>
      </c>
      <c r="L178" s="4">
        <f>IFERROR(INDEX(Model_Pricing!$E:$E,MATCH(1,(Model_Pricing!$A:$A=D178)*(Model_Pricing!$B:$B=E178),0)),"")</f>
        <v/>
      </c>
      <c r="M178" s="4">
        <f>IF(J178="","",H178/1000000*K178)</f>
        <v/>
      </c>
      <c r="N178" s="4">
        <f>IF(J178="","",I178/1000000*L178)</f>
        <v/>
      </c>
      <c r="O178" s="4">
        <f>IF(J178="","",M178+N178)</f>
        <v/>
      </c>
    </row>
    <row r="179">
      <c r="A179" s="2" t="n"/>
      <c r="H179" s="3" t="n"/>
      <c r="I179" s="3" t="n"/>
      <c r="J179" s="3">
        <f>IF(OR(H179&lt;&gt;"",I179&lt;&gt;""),N(H179)+N(I179),"")</f>
        <v/>
      </c>
      <c r="K179" s="4">
        <f>IFERROR(INDEX(Model_Pricing!$D:$D,MATCH(1,(Model_Pricing!$A:$A=D179)*(Model_Pricing!$B:$B=E179),0)),"")</f>
        <v/>
      </c>
      <c r="L179" s="4">
        <f>IFERROR(INDEX(Model_Pricing!$E:$E,MATCH(1,(Model_Pricing!$A:$A=D179)*(Model_Pricing!$B:$B=E179),0)),"")</f>
        <v/>
      </c>
      <c r="M179" s="4">
        <f>IF(J179="","",H179/1000000*K179)</f>
        <v/>
      </c>
      <c r="N179" s="4">
        <f>IF(J179="","",I179/1000000*L179)</f>
        <v/>
      </c>
      <c r="O179" s="4">
        <f>IF(J179="","",M179+N179)</f>
        <v/>
      </c>
    </row>
    <row r="180">
      <c r="A180" s="2" t="n"/>
      <c r="H180" s="3" t="n"/>
      <c r="I180" s="3" t="n"/>
      <c r="J180" s="3">
        <f>IF(OR(H180&lt;&gt;"",I180&lt;&gt;""),N(H180)+N(I180),"")</f>
        <v/>
      </c>
      <c r="K180" s="4">
        <f>IFERROR(INDEX(Model_Pricing!$D:$D,MATCH(1,(Model_Pricing!$A:$A=D180)*(Model_Pricing!$B:$B=E180),0)),"")</f>
        <v/>
      </c>
      <c r="L180" s="4">
        <f>IFERROR(INDEX(Model_Pricing!$E:$E,MATCH(1,(Model_Pricing!$A:$A=D180)*(Model_Pricing!$B:$B=E180),0)),"")</f>
        <v/>
      </c>
      <c r="M180" s="4">
        <f>IF(J180="","",H180/1000000*K180)</f>
        <v/>
      </c>
      <c r="N180" s="4">
        <f>IF(J180="","",I180/1000000*L180)</f>
        <v/>
      </c>
      <c r="O180" s="4">
        <f>IF(J180="","",M180+N180)</f>
        <v/>
      </c>
    </row>
    <row r="181">
      <c r="A181" s="2" t="n"/>
      <c r="H181" s="3" t="n"/>
      <c r="I181" s="3" t="n"/>
      <c r="J181" s="3">
        <f>IF(OR(H181&lt;&gt;"",I181&lt;&gt;""),N(H181)+N(I181),"")</f>
        <v/>
      </c>
      <c r="K181" s="4">
        <f>IFERROR(INDEX(Model_Pricing!$D:$D,MATCH(1,(Model_Pricing!$A:$A=D181)*(Model_Pricing!$B:$B=E181),0)),"")</f>
        <v/>
      </c>
      <c r="L181" s="4">
        <f>IFERROR(INDEX(Model_Pricing!$E:$E,MATCH(1,(Model_Pricing!$A:$A=D181)*(Model_Pricing!$B:$B=E181),0)),"")</f>
        <v/>
      </c>
      <c r="M181" s="4">
        <f>IF(J181="","",H181/1000000*K181)</f>
        <v/>
      </c>
      <c r="N181" s="4">
        <f>IF(J181="","",I181/1000000*L181)</f>
        <v/>
      </c>
      <c r="O181" s="4">
        <f>IF(J181="","",M181+N181)</f>
        <v/>
      </c>
    </row>
    <row r="182">
      <c r="A182" s="2" t="n"/>
      <c r="H182" s="3" t="n"/>
      <c r="I182" s="3" t="n"/>
      <c r="J182" s="3">
        <f>IF(OR(H182&lt;&gt;"",I182&lt;&gt;""),N(H182)+N(I182),"")</f>
        <v/>
      </c>
      <c r="K182" s="4">
        <f>IFERROR(INDEX(Model_Pricing!$D:$D,MATCH(1,(Model_Pricing!$A:$A=D182)*(Model_Pricing!$B:$B=E182),0)),"")</f>
        <v/>
      </c>
      <c r="L182" s="4">
        <f>IFERROR(INDEX(Model_Pricing!$E:$E,MATCH(1,(Model_Pricing!$A:$A=D182)*(Model_Pricing!$B:$B=E182),0)),"")</f>
        <v/>
      </c>
      <c r="M182" s="4">
        <f>IF(J182="","",H182/1000000*K182)</f>
        <v/>
      </c>
      <c r="N182" s="4">
        <f>IF(J182="","",I182/1000000*L182)</f>
        <v/>
      </c>
      <c r="O182" s="4">
        <f>IF(J182="","",M182+N182)</f>
        <v/>
      </c>
    </row>
    <row r="183">
      <c r="A183" s="2" t="n"/>
      <c r="H183" s="3" t="n"/>
      <c r="I183" s="3" t="n"/>
      <c r="J183" s="3">
        <f>IF(OR(H183&lt;&gt;"",I183&lt;&gt;""),N(H183)+N(I183),"")</f>
        <v/>
      </c>
      <c r="K183" s="4">
        <f>IFERROR(INDEX(Model_Pricing!$D:$D,MATCH(1,(Model_Pricing!$A:$A=D183)*(Model_Pricing!$B:$B=E183),0)),"")</f>
        <v/>
      </c>
      <c r="L183" s="4">
        <f>IFERROR(INDEX(Model_Pricing!$E:$E,MATCH(1,(Model_Pricing!$A:$A=D183)*(Model_Pricing!$B:$B=E183),0)),"")</f>
        <v/>
      </c>
      <c r="M183" s="4">
        <f>IF(J183="","",H183/1000000*K183)</f>
        <v/>
      </c>
      <c r="N183" s="4">
        <f>IF(J183="","",I183/1000000*L183)</f>
        <v/>
      </c>
      <c r="O183" s="4">
        <f>IF(J183="","",M183+N183)</f>
        <v/>
      </c>
    </row>
    <row r="184">
      <c r="A184" s="2" t="n"/>
      <c r="H184" s="3" t="n"/>
      <c r="I184" s="3" t="n"/>
      <c r="J184" s="3">
        <f>IF(OR(H184&lt;&gt;"",I184&lt;&gt;""),N(H184)+N(I184),"")</f>
        <v/>
      </c>
      <c r="K184" s="4">
        <f>IFERROR(INDEX(Model_Pricing!$D:$D,MATCH(1,(Model_Pricing!$A:$A=D184)*(Model_Pricing!$B:$B=E184),0)),"")</f>
        <v/>
      </c>
      <c r="L184" s="4">
        <f>IFERROR(INDEX(Model_Pricing!$E:$E,MATCH(1,(Model_Pricing!$A:$A=D184)*(Model_Pricing!$B:$B=E184),0)),"")</f>
        <v/>
      </c>
      <c r="M184" s="4">
        <f>IF(J184="","",H184/1000000*K184)</f>
        <v/>
      </c>
      <c r="N184" s="4">
        <f>IF(J184="","",I184/1000000*L184)</f>
        <v/>
      </c>
      <c r="O184" s="4">
        <f>IF(J184="","",M184+N184)</f>
        <v/>
      </c>
    </row>
    <row r="185">
      <c r="A185" s="2" t="n"/>
      <c r="H185" s="3" t="n"/>
      <c r="I185" s="3" t="n"/>
      <c r="J185" s="3">
        <f>IF(OR(H185&lt;&gt;"",I185&lt;&gt;""),N(H185)+N(I185),"")</f>
        <v/>
      </c>
      <c r="K185" s="4">
        <f>IFERROR(INDEX(Model_Pricing!$D:$D,MATCH(1,(Model_Pricing!$A:$A=D185)*(Model_Pricing!$B:$B=E185),0)),"")</f>
        <v/>
      </c>
      <c r="L185" s="4">
        <f>IFERROR(INDEX(Model_Pricing!$E:$E,MATCH(1,(Model_Pricing!$A:$A=D185)*(Model_Pricing!$B:$B=E185),0)),"")</f>
        <v/>
      </c>
      <c r="M185" s="4">
        <f>IF(J185="","",H185/1000000*K185)</f>
        <v/>
      </c>
      <c r="N185" s="4">
        <f>IF(J185="","",I185/1000000*L185)</f>
        <v/>
      </c>
      <c r="O185" s="4">
        <f>IF(J185="","",M185+N185)</f>
        <v/>
      </c>
    </row>
    <row r="186">
      <c r="A186" s="2" t="n"/>
      <c r="H186" s="3" t="n"/>
      <c r="I186" s="3" t="n"/>
      <c r="J186" s="3">
        <f>IF(OR(H186&lt;&gt;"",I186&lt;&gt;""),N(H186)+N(I186),"")</f>
        <v/>
      </c>
      <c r="K186" s="4">
        <f>IFERROR(INDEX(Model_Pricing!$D:$D,MATCH(1,(Model_Pricing!$A:$A=D186)*(Model_Pricing!$B:$B=E186),0)),"")</f>
        <v/>
      </c>
      <c r="L186" s="4">
        <f>IFERROR(INDEX(Model_Pricing!$E:$E,MATCH(1,(Model_Pricing!$A:$A=D186)*(Model_Pricing!$B:$B=E186),0)),"")</f>
        <v/>
      </c>
      <c r="M186" s="4">
        <f>IF(J186="","",H186/1000000*K186)</f>
        <v/>
      </c>
      <c r="N186" s="4">
        <f>IF(J186="","",I186/1000000*L186)</f>
        <v/>
      </c>
      <c r="O186" s="4">
        <f>IF(J186="","",M186+N186)</f>
        <v/>
      </c>
    </row>
    <row r="187">
      <c r="A187" s="2" t="n"/>
      <c r="H187" s="3" t="n"/>
      <c r="I187" s="3" t="n"/>
      <c r="J187" s="3">
        <f>IF(OR(H187&lt;&gt;"",I187&lt;&gt;""),N(H187)+N(I187),"")</f>
        <v/>
      </c>
      <c r="K187" s="4">
        <f>IFERROR(INDEX(Model_Pricing!$D:$D,MATCH(1,(Model_Pricing!$A:$A=D187)*(Model_Pricing!$B:$B=E187),0)),"")</f>
        <v/>
      </c>
      <c r="L187" s="4">
        <f>IFERROR(INDEX(Model_Pricing!$E:$E,MATCH(1,(Model_Pricing!$A:$A=D187)*(Model_Pricing!$B:$B=E187),0)),"")</f>
        <v/>
      </c>
      <c r="M187" s="4">
        <f>IF(J187="","",H187/1000000*K187)</f>
        <v/>
      </c>
      <c r="N187" s="4">
        <f>IF(J187="","",I187/1000000*L187)</f>
        <v/>
      </c>
      <c r="O187" s="4">
        <f>IF(J187="","",M187+N187)</f>
        <v/>
      </c>
    </row>
    <row r="188">
      <c r="A188" s="2" t="n"/>
      <c r="H188" s="3" t="n"/>
      <c r="I188" s="3" t="n"/>
      <c r="J188" s="3">
        <f>IF(OR(H188&lt;&gt;"",I188&lt;&gt;""),N(H188)+N(I188),"")</f>
        <v/>
      </c>
      <c r="K188" s="4">
        <f>IFERROR(INDEX(Model_Pricing!$D:$D,MATCH(1,(Model_Pricing!$A:$A=D188)*(Model_Pricing!$B:$B=E188),0)),"")</f>
        <v/>
      </c>
      <c r="L188" s="4">
        <f>IFERROR(INDEX(Model_Pricing!$E:$E,MATCH(1,(Model_Pricing!$A:$A=D188)*(Model_Pricing!$B:$B=E188),0)),"")</f>
        <v/>
      </c>
      <c r="M188" s="4">
        <f>IF(J188="","",H188/1000000*K188)</f>
        <v/>
      </c>
      <c r="N188" s="4">
        <f>IF(J188="","",I188/1000000*L188)</f>
        <v/>
      </c>
      <c r="O188" s="4">
        <f>IF(J188="","",M188+N188)</f>
        <v/>
      </c>
    </row>
    <row r="189">
      <c r="A189" s="2" t="n"/>
      <c r="H189" s="3" t="n"/>
      <c r="I189" s="3" t="n"/>
      <c r="J189" s="3">
        <f>IF(OR(H189&lt;&gt;"",I189&lt;&gt;""),N(H189)+N(I189),"")</f>
        <v/>
      </c>
      <c r="K189" s="4">
        <f>IFERROR(INDEX(Model_Pricing!$D:$D,MATCH(1,(Model_Pricing!$A:$A=D189)*(Model_Pricing!$B:$B=E189),0)),"")</f>
        <v/>
      </c>
      <c r="L189" s="4">
        <f>IFERROR(INDEX(Model_Pricing!$E:$E,MATCH(1,(Model_Pricing!$A:$A=D189)*(Model_Pricing!$B:$B=E189),0)),"")</f>
        <v/>
      </c>
      <c r="M189" s="4">
        <f>IF(J189="","",H189/1000000*K189)</f>
        <v/>
      </c>
      <c r="N189" s="4">
        <f>IF(J189="","",I189/1000000*L189)</f>
        <v/>
      </c>
      <c r="O189" s="4">
        <f>IF(J189="","",M189+N189)</f>
        <v/>
      </c>
    </row>
    <row r="190">
      <c r="A190" s="2" t="n"/>
      <c r="H190" s="3" t="n"/>
      <c r="I190" s="3" t="n"/>
      <c r="J190" s="3">
        <f>IF(OR(H190&lt;&gt;"",I190&lt;&gt;""),N(H190)+N(I190),"")</f>
        <v/>
      </c>
      <c r="K190" s="4">
        <f>IFERROR(INDEX(Model_Pricing!$D:$D,MATCH(1,(Model_Pricing!$A:$A=D190)*(Model_Pricing!$B:$B=E190),0)),"")</f>
        <v/>
      </c>
      <c r="L190" s="4">
        <f>IFERROR(INDEX(Model_Pricing!$E:$E,MATCH(1,(Model_Pricing!$A:$A=D190)*(Model_Pricing!$B:$B=E190),0)),"")</f>
        <v/>
      </c>
      <c r="M190" s="4">
        <f>IF(J190="","",H190/1000000*K190)</f>
        <v/>
      </c>
      <c r="N190" s="4">
        <f>IF(J190="","",I190/1000000*L190)</f>
        <v/>
      </c>
      <c r="O190" s="4">
        <f>IF(J190="","",M190+N190)</f>
        <v/>
      </c>
    </row>
    <row r="191">
      <c r="A191" s="2" t="n"/>
      <c r="H191" s="3" t="n"/>
      <c r="I191" s="3" t="n"/>
      <c r="J191" s="3">
        <f>IF(OR(H191&lt;&gt;"",I191&lt;&gt;""),N(H191)+N(I191),"")</f>
        <v/>
      </c>
      <c r="K191" s="4">
        <f>IFERROR(INDEX(Model_Pricing!$D:$D,MATCH(1,(Model_Pricing!$A:$A=D191)*(Model_Pricing!$B:$B=E191),0)),"")</f>
        <v/>
      </c>
      <c r="L191" s="4">
        <f>IFERROR(INDEX(Model_Pricing!$E:$E,MATCH(1,(Model_Pricing!$A:$A=D191)*(Model_Pricing!$B:$B=E191),0)),"")</f>
        <v/>
      </c>
      <c r="M191" s="4">
        <f>IF(J191="","",H191/1000000*K191)</f>
        <v/>
      </c>
      <c r="N191" s="4">
        <f>IF(J191="","",I191/1000000*L191)</f>
        <v/>
      </c>
      <c r="O191" s="4">
        <f>IF(J191="","",M191+N191)</f>
        <v/>
      </c>
    </row>
    <row r="192">
      <c r="A192" s="2" t="n"/>
      <c r="H192" s="3" t="n"/>
      <c r="I192" s="3" t="n"/>
      <c r="J192" s="3">
        <f>IF(OR(H192&lt;&gt;"",I192&lt;&gt;""),N(H192)+N(I192),"")</f>
        <v/>
      </c>
      <c r="K192" s="4">
        <f>IFERROR(INDEX(Model_Pricing!$D:$D,MATCH(1,(Model_Pricing!$A:$A=D192)*(Model_Pricing!$B:$B=E192),0)),"")</f>
        <v/>
      </c>
      <c r="L192" s="4">
        <f>IFERROR(INDEX(Model_Pricing!$E:$E,MATCH(1,(Model_Pricing!$A:$A=D192)*(Model_Pricing!$B:$B=E192),0)),"")</f>
        <v/>
      </c>
      <c r="M192" s="4">
        <f>IF(J192="","",H192/1000000*K192)</f>
        <v/>
      </c>
      <c r="N192" s="4">
        <f>IF(J192="","",I192/1000000*L192)</f>
        <v/>
      </c>
      <c r="O192" s="4">
        <f>IF(J192="","",M192+N192)</f>
        <v/>
      </c>
    </row>
    <row r="193">
      <c r="A193" s="2" t="n"/>
      <c r="H193" s="3" t="n"/>
      <c r="I193" s="3" t="n"/>
      <c r="J193" s="3">
        <f>IF(OR(H193&lt;&gt;"",I193&lt;&gt;""),N(H193)+N(I193),"")</f>
        <v/>
      </c>
      <c r="K193" s="4">
        <f>IFERROR(INDEX(Model_Pricing!$D:$D,MATCH(1,(Model_Pricing!$A:$A=D193)*(Model_Pricing!$B:$B=E193),0)),"")</f>
        <v/>
      </c>
      <c r="L193" s="4">
        <f>IFERROR(INDEX(Model_Pricing!$E:$E,MATCH(1,(Model_Pricing!$A:$A=D193)*(Model_Pricing!$B:$B=E193),0)),"")</f>
        <v/>
      </c>
      <c r="M193" s="4">
        <f>IF(J193="","",H193/1000000*K193)</f>
        <v/>
      </c>
      <c r="N193" s="4">
        <f>IF(J193="","",I193/1000000*L193)</f>
        <v/>
      </c>
      <c r="O193" s="4">
        <f>IF(J193="","",M193+N193)</f>
        <v/>
      </c>
    </row>
    <row r="194">
      <c r="A194" s="2" t="n"/>
      <c r="H194" s="3" t="n"/>
      <c r="I194" s="3" t="n"/>
      <c r="J194" s="3">
        <f>IF(OR(H194&lt;&gt;"",I194&lt;&gt;""),N(H194)+N(I194),"")</f>
        <v/>
      </c>
      <c r="K194" s="4">
        <f>IFERROR(INDEX(Model_Pricing!$D:$D,MATCH(1,(Model_Pricing!$A:$A=D194)*(Model_Pricing!$B:$B=E194),0)),"")</f>
        <v/>
      </c>
      <c r="L194" s="4">
        <f>IFERROR(INDEX(Model_Pricing!$E:$E,MATCH(1,(Model_Pricing!$A:$A=D194)*(Model_Pricing!$B:$B=E194),0)),"")</f>
        <v/>
      </c>
      <c r="M194" s="4">
        <f>IF(J194="","",H194/1000000*K194)</f>
        <v/>
      </c>
      <c r="N194" s="4">
        <f>IF(J194="","",I194/1000000*L194)</f>
        <v/>
      </c>
      <c r="O194" s="4">
        <f>IF(J194="","",M194+N194)</f>
        <v/>
      </c>
    </row>
    <row r="195">
      <c r="A195" s="2" t="n"/>
      <c r="H195" s="3" t="n"/>
      <c r="I195" s="3" t="n"/>
      <c r="J195" s="3">
        <f>IF(OR(H195&lt;&gt;"",I195&lt;&gt;""),N(H195)+N(I195),"")</f>
        <v/>
      </c>
      <c r="K195" s="4">
        <f>IFERROR(INDEX(Model_Pricing!$D:$D,MATCH(1,(Model_Pricing!$A:$A=D195)*(Model_Pricing!$B:$B=E195),0)),"")</f>
        <v/>
      </c>
      <c r="L195" s="4">
        <f>IFERROR(INDEX(Model_Pricing!$E:$E,MATCH(1,(Model_Pricing!$A:$A=D195)*(Model_Pricing!$B:$B=E195),0)),"")</f>
        <v/>
      </c>
      <c r="M195" s="4">
        <f>IF(J195="","",H195/1000000*K195)</f>
        <v/>
      </c>
      <c r="N195" s="4">
        <f>IF(J195="","",I195/1000000*L195)</f>
        <v/>
      </c>
      <c r="O195" s="4">
        <f>IF(J195="","",M195+N195)</f>
        <v/>
      </c>
    </row>
    <row r="196">
      <c r="A196" s="2" t="n"/>
      <c r="H196" s="3" t="n"/>
      <c r="I196" s="3" t="n"/>
      <c r="J196" s="3">
        <f>IF(OR(H196&lt;&gt;"",I196&lt;&gt;""),N(H196)+N(I196),"")</f>
        <v/>
      </c>
      <c r="K196" s="4">
        <f>IFERROR(INDEX(Model_Pricing!$D:$D,MATCH(1,(Model_Pricing!$A:$A=D196)*(Model_Pricing!$B:$B=E196),0)),"")</f>
        <v/>
      </c>
      <c r="L196" s="4">
        <f>IFERROR(INDEX(Model_Pricing!$E:$E,MATCH(1,(Model_Pricing!$A:$A=D196)*(Model_Pricing!$B:$B=E196),0)),"")</f>
        <v/>
      </c>
      <c r="M196" s="4">
        <f>IF(J196="","",H196/1000000*K196)</f>
        <v/>
      </c>
      <c r="N196" s="4">
        <f>IF(J196="","",I196/1000000*L196)</f>
        <v/>
      </c>
      <c r="O196" s="4">
        <f>IF(J196="","",M196+N196)</f>
        <v/>
      </c>
    </row>
    <row r="197">
      <c r="A197" s="2" t="n"/>
      <c r="H197" s="3" t="n"/>
      <c r="I197" s="3" t="n"/>
      <c r="J197" s="3">
        <f>IF(OR(H197&lt;&gt;"",I197&lt;&gt;""),N(H197)+N(I197),"")</f>
        <v/>
      </c>
      <c r="K197" s="4">
        <f>IFERROR(INDEX(Model_Pricing!$D:$D,MATCH(1,(Model_Pricing!$A:$A=D197)*(Model_Pricing!$B:$B=E197),0)),"")</f>
        <v/>
      </c>
      <c r="L197" s="4">
        <f>IFERROR(INDEX(Model_Pricing!$E:$E,MATCH(1,(Model_Pricing!$A:$A=D197)*(Model_Pricing!$B:$B=E197),0)),"")</f>
        <v/>
      </c>
      <c r="M197" s="4">
        <f>IF(J197="","",H197/1000000*K197)</f>
        <v/>
      </c>
      <c r="N197" s="4">
        <f>IF(J197="","",I197/1000000*L197)</f>
        <v/>
      </c>
      <c r="O197" s="4">
        <f>IF(J197="","",M197+N197)</f>
        <v/>
      </c>
    </row>
    <row r="198">
      <c r="A198" s="2" t="n"/>
      <c r="H198" s="3" t="n"/>
      <c r="I198" s="3" t="n"/>
      <c r="J198" s="3">
        <f>IF(OR(H198&lt;&gt;"",I198&lt;&gt;""),N(H198)+N(I198),"")</f>
        <v/>
      </c>
      <c r="K198" s="4">
        <f>IFERROR(INDEX(Model_Pricing!$D:$D,MATCH(1,(Model_Pricing!$A:$A=D198)*(Model_Pricing!$B:$B=E198),0)),"")</f>
        <v/>
      </c>
      <c r="L198" s="4">
        <f>IFERROR(INDEX(Model_Pricing!$E:$E,MATCH(1,(Model_Pricing!$A:$A=D198)*(Model_Pricing!$B:$B=E198),0)),"")</f>
        <v/>
      </c>
      <c r="M198" s="4">
        <f>IF(J198="","",H198/1000000*K198)</f>
        <v/>
      </c>
      <c r="N198" s="4">
        <f>IF(J198="","",I198/1000000*L198)</f>
        <v/>
      </c>
      <c r="O198" s="4">
        <f>IF(J198="","",M198+N198)</f>
        <v/>
      </c>
    </row>
    <row r="199">
      <c r="A199" s="2" t="n"/>
      <c r="H199" s="3" t="n"/>
      <c r="I199" s="3" t="n"/>
      <c r="J199" s="3">
        <f>IF(OR(H199&lt;&gt;"",I199&lt;&gt;""),N(H199)+N(I199),"")</f>
        <v/>
      </c>
      <c r="K199" s="4">
        <f>IFERROR(INDEX(Model_Pricing!$D:$D,MATCH(1,(Model_Pricing!$A:$A=D199)*(Model_Pricing!$B:$B=E199),0)),"")</f>
        <v/>
      </c>
      <c r="L199" s="4">
        <f>IFERROR(INDEX(Model_Pricing!$E:$E,MATCH(1,(Model_Pricing!$A:$A=D199)*(Model_Pricing!$B:$B=E199),0)),"")</f>
        <v/>
      </c>
      <c r="M199" s="4">
        <f>IF(J199="","",H199/1000000*K199)</f>
        <v/>
      </c>
      <c r="N199" s="4">
        <f>IF(J199="","",I199/1000000*L199)</f>
        <v/>
      </c>
      <c r="O199" s="4">
        <f>IF(J199="","",M199+N199)</f>
        <v/>
      </c>
    </row>
    <row r="200">
      <c r="A200" s="2" t="n"/>
      <c r="H200" s="3" t="n"/>
      <c r="I200" s="3" t="n"/>
      <c r="J200" s="3">
        <f>IF(OR(H200&lt;&gt;"",I200&lt;&gt;""),N(H200)+N(I200),"")</f>
        <v/>
      </c>
      <c r="K200" s="4">
        <f>IFERROR(INDEX(Model_Pricing!$D:$D,MATCH(1,(Model_Pricing!$A:$A=D200)*(Model_Pricing!$B:$B=E200),0)),"")</f>
        <v/>
      </c>
      <c r="L200" s="4">
        <f>IFERROR(INDEX(Model_Pricing!$E:$E,MATCH(1,(Model_Pricing!$A:$A=D200)*(Model_Pricing!$B:$B=E200),0)),"")</f>
        <v/>
      </c>
      <c r="M200" s="4">
        <f>IF(J200="","",H200/1000000*K200)</f>
        <v/>
      </c>
      <c r="N200" s="4">
        <f>IF(J200="","",I200/1000000*L200)</f>
        <v/>
      </c>
      <c r="O200" s="4">
        <f>IF(J200="","",M200+N200)</f>
        <v/>
      </c>
    </row>
    <row r="201">
      <c r="A201" s="2" t="n"/>
      <c r="H201" s="3" t="n"/>
      <c r="I201" s="3" t="n"/>
      <c r="J201" s="3">
        <f>IF(OR(H201&lt;&gt;"",I201&lt;&gt;""),N(H201)+N(I201),"")</f>
        <v/>
      </c>
      <c r="K201" s="4">
        <f>IFERROR(INDEX(Model_Pricing!$D:$D,MATCH(1,(Model_Pricing!$A:$A=D201)*(Model_Pricing!$B:$B=E201),0)),"")</f>
        <v/>
      </c>
      <c r="L201" s="4">
        <f>IFERROR(INDEX(Model_Pricing!$E:$E,MATCH(1,(Model_Pricing!$A:$A=D201)*(Model_Pricing!$B:$B=E201),0)),"")</f>
        <v/>
      </c>
      <c r="M201" s="4">
        <f>IF(J201="","",H201/1000000*K201)</f>
        <v/>
      </c>
      <c r="N201" s="4">
        <f>IF(J201="","",I201/1000000*L201)</f>
        <v/>
      </c>
      <c r="O201" s="4">
        <f>IF(J201="","",M201+N201)</f>
        <v/>
      </c>
    </row>
    <row r="202">
      <c r="A202" s="2" t="n"/>
      <c r="H202" s="3" t="n"/>
      <c r="I202" s="3" t="n"/>
      <c r="J202" s="3">
        <f>IF(OR(H202&lt;&gt;"",I202&lt;&gt;""),N(H202)+N(I202),"")</f>
        <v/>
      </c>
      <c r="K202" s="4">
        <f>IFERROR(INDEX(Model_Pricing!$D:$D,MATCH(1,(Model_Pricing!$A:$A=D202)*(Model_Pricing!$B:$B=E202),0)),"")</f>
        <v/>
      </c>
      <c r="L202" s="4">
        <f>IFERROR(INDEX(Model_Pricing!$E:$E,MATCH(1,(Model_Pricing!$A:$A=D202)*(Model_Pricing!$B:$B=E202),0)),"")</f>
        <v/>
      </c>
      <c r="M202" s="4">
        <f>IF(J202="","",H202/1000000*K202)</f>
        <v/>
      </c>
      <c r="N202" s="4">
        <f>IF(J202="","",I202/1000000*L202)</f>
        <v/>
      </c>
      <c r="O202" s="4">
        <f>IF(J202="","",M202+N202)</f>
        <v/>
      </c>
    </row>
    <row r="203">
      <c r="A203" s="2" t="n"/>
      <c r="H203" s="3" t="n"/>
      <c r="I203" s="3" t="n"/>
      <c r="J203" s="3">
        <f>IF(OR(H203&lt;&gt;"",I203&lt;&gt;""),N(H203)+N(I203),"")</f>
        <v/>
      </c>
      <c r="K203" s="4">
        <f>IFERROR(INDEX(Model_Pricing!$D:$D,MATCH(1,(Model_Pricing!$A:$A=D203)*(Model_Pricing!$B:$B=E203),0)),"")</f>
        <v/>
      </c>
      <c r="L203" s="4">
        <f>IFERROR(INDEX(Model_Pricing!$E:$E,MATCH(1,(Model_Pricing!$A:$A=D203)*(Model_Pricing!$B:$B=E203),0)),"")</f>
        <v/>
      </c>
      <c r="M203" s="4">
        <f>IF(J203="","",H203/1000000*K203)</f>
        <v/>
      </c>
      <c r="N203" s="4">
        <f>IF(J203="","",I203/1000000*L203)</f>
        <v/>
      </c>
      <c r="O203" s="4">
        <f>IF(J203="","",M203+N203)</f>
        <v/>
      </c>
    </row>
    <row r="205">
      <c r="A205" s="5" t="inlineStr">
        <is>
          <t>Instructions</t>
        </is>
      </c>
    </row>
    <row r="206">
      <c r="A206" t="inlineStr">
        <is>
          <t>1. Enter/replace usage data in rows 2 onward.</t>
        </is>
      </c>
    </row>
    <row r="207">
      <c r="A207" t="inlineStr">
        <is>
          <t>2. Maintain current model pricing in Model_Pricing.</t>
        </is>
      </c>
    </row>
    <row r="208">
      <c r="A208" t="inlineStr">
        <is>
          <t>3. Dashboard uses the month selected in Monthly_Dashboard!B3.</t>
        </is>
      </c>
    </row>
    <row r="209">
      <c r="A209" t="inlineStr">
        <is>
          <t>4. Budget_Tracker compares actual usage against monthly budget.</t>
        </is>
      </c>
    </row>
    <row r="210">
      <c r="A210" t="inlineStr">
        <is>
          <t>5. Costs are calculated in USD based on input/output token pricing.</t>
        </is>
      </c>
    </row>
    <row r="211">
      <c r="A211" t="inlineStr">
        <is>
          <t>6. Example rows 2-3 are provided only to demonstrate the structure.</t>
        </is>
      </c>
    </row>
  </sheetData>
  <autoFilter ref="A1:Q203"/>
  <dataValidations count="3">
    <dataValidation sqref="D2:D203" showDropDown="0" showInputMessage="0" showErrorMessage="0" allowBlank="1" type="list">
      <formula1>=Lists!$A$2:$A$3</formula1>
    </dataValidation>
    <dataValidation sqref="F2:F203" showDropDown="0" showInputMessage="0" showErrorMessage="0" allowBlank="1" type="list">
      <formula1>=Lists!$B$2:$B$5</formula1>
    </dataValidation>
    <dataValidation sqref="C2:C203" showDropDown="0" showInputMessage="0" showErrorMessage="0" allowBlank="1" type="list">
      <formula1>=Lists!$C$2:$C$5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22" customWidth="1" min="4" max="4"/>
    <col width="23" customWidth="1" min="5" max="5"/>
    <col width="12" customWidth="1" min="6" max="6"/>
    <col width="34" customWidth="1" min="7" max="7"/>
    <col hidden="1" width="13" customWidth="1" min="8" max="8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Effective From</t>
        </is>
      </c>
      <c r="D1" s="1" t="inlineStr">
        <is>
          <t>Input $ / 1M Tokens</t>
        </is>
      </c>
      <c r="E1" s="1" t="inlineStr">
        <is>
          <t>Output $ / 1M Tokens</t>
        </is>
      </c>
      <c r="F1" s="1" t="inlineStr">
        <is>
          <t>Currency</t>
        </is>
      </c>
      <c r="G1" s="1" t="inlineStr">
        <is>
          <t>Notes</t>
        </is>
      </c>
      <c r="H1" s="6" t="inlineStr">
        <is>
          <t>Lookup Key</t>
        </is>
      </c>
    </row>
    <row r="2">
      <c r="A2" t="inlineStr">
        <is>
          <t>Google</t>
        </is>
      </c>
      <c r="B2" t="inlineStr">
        <is>
          <t>Gemini 2.5 Flash</t>
        </is>
      </c>
      <c r="C2" s="2" t="inlineStr">
        <is>
          <t>21-Aug-2026</t>
        </is>
      </c>
      <c r="D2" s="4" t="inlineStr"/>
      <c r="E2" s="4" t="inlineStr"/>
      <c r="F2" t="inlineStr">
        <is>
          <t>USD</t>
        </is>
      </c>
      <c r="G2" t="inlineStr">
        <is>
          <t>Enter current contract/list pricing</t>
        </is>
      </c>
      <c r="H2">
        <f>IF(OR(A2="",B2=""),"",A2&amp;"|"&amp;B2)</f>
        <v/>
      </c>
    </row>
    <row r="3">
      <c r="A3" t="inlineStr">
        <is>
          <t>Google</t>
        </is>
      </c>
      <c r="B3" t="inlineStr">
        <is>
          <t>Gemini 2.5 Pro</t>
        </is>
      </c>
      <c r="C3" s="2" t="inlineStr">
        <is>
          <t>21-Aug-2026</t>
        </is>
      </c>
      <c r="D3" s="4" t="inlineStr"/>
      <c r="E3" s="4" t="inlineStr"/>
      <c r="F3" t="inlineStr">
        <is>
          <t>USD</t>
        </is>
      </c>
      <c r="G3" t="inlineStr">
        <is>
          <t>Enter current contract/list pricing</t>
        </is>
      </c>
      <c r="H3">
        <f>IF(OR(A3="",B3=""),"",A3&amp;"|"&amp;B3)</f>
        <v/>
      </c>
    </row>
    <row r="4">
      <c r="A4" t="inlineStr">
        <is>
          <t>OpenAI</t>
        </is>
      </c>
      <c r="B4" t="inlineStr">
        <is>
          <t>GPT-5.x</t>
        </is>
      </c>
      <c r="C4" s="2" t="inlineStr">
        <is>
          <t>21-Aug-2026</t>
        </is>
      </c>
      <c r="D4" s="4" t="inlineStr"/>
      <c r="E4" s="4" t="inlineStr"/>
      <c r="F4" t="inlineStr">
        <is>
          <t>USD</t>
        </is>
      </c>
      <c r="G4" t="inlineStr">
        <is>
          <t>Enter current contract/list pricing</t>
        </is>
      </c>
      <c r="H4">
        <f>IF(OR(A4="",B4=""),"",A4&amp;"|"&amp;B4)</f>
        <v/>
      </c>
    </row>
    <row r="5">
      <c r="A5" t="inlineStr">
        <is>
          <t>OpenAI</t>
        </is>
      </c>
      <c r="B5" t="inlineStr">
        <is>
          <t>GPT-5.x Mini</t>
        </is>
      </c>
      <c r="C5" s="2" t="inlineStr">
        <is>
          <t>21-Aug-2026</t>
        </is>
      </c>
      <c r="D5" s="4" t="inlineStr"/>
      <c r="E5" s="4" t="inlineStr"/>
      <c r="F5" t="inlineStr">
        <is>
          <t>USD</t>
        </is>
      </c>
      <c r="G5" t="inlineStr">
        <is>
          <t>Enter current contract/list pricing</t>
        </is>
      </c>
      <c r="H5">
        <f>IF(OR(A5="",B5=""),"",A5&amp;"|"&amp;B5)</f>
        <v/>
      </c>
    </row>
    <row r="6">
      <c r="H6">
        <f>IF(OR(A6="",B6=""),"",A6&amp;"|"&amp;B6)</f>
        <v/>
      </c>
    </row>
    <row r="7">
      <c r="H7">
        <f>IF(OR(A7="",B7=""),"",A7&amp;"|"&amp;B7)</f>
        <v/>
      </c>
    </row>
    <row r="8">
      <c r="H8">
        <f>IF(OR(A8="",B8=""),"",A8&amp;"|"&amp;B8)</f>
        <v/>
      </c>
    </row>
    <row r="9">
      <c r="H9">
        <f>IF(OR(A9="",B9=""),"",A9&amp;"|"&amp;B9)</f>
        <v/>
      </c>
    </row>
    <row r="10">
      <c r="H10">
        <f>IF(OR(A10="",B10=""),"",A10&amp;"|"&amp;B10)</f>
        <v/>
      </c>
    </row>
    <row r="11">
      <c r="H11">
        <f>IF(OR(A11="",B11=""),"",A11&amp;"|"&amp;B11)</f>
        <v/>
      </c>
    </row>
    <row r="12">
      <c r="H12">
        <f>IF(OR(A12="",B12=""),"",A12&amp;"|"&amp;B12)</f>
        <v/>
      </c>
    </row>
    <row r="13">
      <c r="H13">
        <f>IF(OR(A13="",B13=""),"",A13&amp;"|"&amp;B13)</f>
        <v/>
      </c>
    </row>
    <row r="14">
      <c r="H14">
        <f>IF(OR(A14="",B14=""),"",A14&amp;"|"&amp;B14)</f>
        <v/>
      </c>
    </row>
    <row r="15">
      <c r="H15">
        <f>IF(OR(A15="",B15=""),"",A15&amp;"|"&amp;B15)</f>
        <v/>
      </c>
    </row>
    <row r="16">
      <c r="H16">
        <f>IF(OR(A16="",B16=""),"",A16&amp;"|"&amp;B16)</f>
        <v/>
      </c>
    </row>
    <row r="17">
      <c r="H17">
        <f>IF(OR(A17="",B17=""),"",A17&amp;"|"&amp;B17)</f>
        <v/>
      </c>
    </row>
    <row r="18">
      <c r="H18">
        <f>IF(OR(A18="",B18=""),"",A18&amp;"|"&amp;B18)</f>
        <v/>
      </c>
    </row>
    <row r="19">
      <c r="H19">
        <f>IF(OR(A19="",B19=""),"",A19&amp;"|"&amp;B19)</f>
        <v/>
      </c>
    </row>
    <row r="20">
      <c r="H20">
        <f>IF(OR(A20="",B20=""),"",A20&amp;"|"&amp;B20)</f>
        <v/>
      </c>
    </row>
    <row r="21">
      <c r="H21">
        <f>IF(OR(A21="",B21=""),"",A21&amp;"|"&amp;B21)</f>
        <v/>
      </c>
    </row>
    <row r="22">
      <c r="H22">
        <f>IF(OR(A22="",B22=""),"",A22&amp;"|"&amp;B22)</f>
        <v/>
      </c>
    </row>
    <row r="23">
      <c r="H23">
        <f>IF(OR(A23="",B23=""),"",A23&amp;"|"&amp;B23)</f>
        <v/>
      </c>
    </row>
    <row r="24">
      <c r="H24">
        <f>IF(OR(A24="",B24=""),"",A24&amp;"|"&amp;B24)</f>
        <v/>
      </c>
    </row>
    <row r="25">
      <c r="H25">
        <f>IF(OR(A25="",B25=""),"",A25&amp;"|"&amp;B25)</f>
        <v/>
      </c>
    </row>
    <row r="26">
      <c r="H26">
        <f>IF(OR(A26="",B26=""),"",A26&amp;"|"&amp;B26)</f>
        <v/>
      </c>
    </row>
    <row r="27">
      <c r="H27">
        <f>IF(OR(A27="",B27=""),"",A27&amp;"|"&amp;B27)</f>
        <v/>
      </c>
    </row>
    <row r="28">
      <c r="H28">
        <f>IF(OR(A28="",B28=""),"",A28&amp;"|"&amp;B28)</f>
        <v/>
      </c>
    </row>
    <row r="29">
      <c r="H29">
        <f>IF(OR(A29="",B29=""),"",A29&amp;"|"&amp;B29)</f>
        <v/>
      </c>
    </row>
    <row r="30">
      <c r="H30">
        <f>IF(OR(A30="",B30=""),"",A30&amp;"|"&amp;B30)</f>
        <v/>
      </c>
    </row>
    <row r="31">
      <c r="H31">
        <f>IF(OR(A31="",B31=""),"",A31&amp;"|"&amp;B31)</f>
        <v/>
      </c>
    </row>
    <row r="32">
      <c r="H32">
        <f>IF(OR(A32="",B32=""),"",A32&amp;"|"&amp;B32)</f>
        <v/>
      </c>
    </row>
    <row r="33">
      <c r="H33">
        <f>IF(OR(A33="",B33=""),"",A33&amp;"|"&amp;B33)</f>
        <v/>
      </c>
    </row>
    <row r="34">
      <c r="H34">
        <f>IF(OR(A34="",B34=""),"",A34&amp;"|"&amp;B34)</f>
        <v/>
      </c>
    </row>
    <row r="35">
      <c r="H35">
        <f>IF(OR(A35="",B35=""),"",A35&amp;"|"&amp;B35)</f>
        <v/>
      </c>
    </row>
    <row r="36">
      <c r="H36">
        <f>IF(OR(A36="",B36=""),"",A36&amp;"|"&amp;B36)</f>
        <v/>
      </c>
    </row>
    <row r="37">
      <c r="H37">
        <f>IF(OR(A37="",B37=""),"",A37&amp;"|"&amp;B37)</f>
        <v/>
      </c>
    </row>
    <row r="38">
      <c r="H38">
        <f>IF(OR(A38="",B38=""),"",A38&amp;"|"&amp;B38)</f>
        <v/>
      </c>
    </row>
    <row r="39">
      <c r="H39">
        <f>IF(OR(A39="",B39=""),"",A39&amp;"|"&amp;B39)</f>
        <v/>
      </c>
    </row>
    <row r="40">
      <c r="H40">
        <f>IF(OR(A40="",B40=""),"",A40&amp;"|"&amp;B40)</f>
        <v/>
      </c>
    </row>
    <row r="41">
      <c r="H41">
        <f>IF(OR(A41="",B41=""),"",A41&amp;"|"&amp;B41)</f>
        <v/>
      </c>
    </row>
    <row r="42">
      <c r="H42">
        <f>IF(OR(A42="",B42=""),"",A42&amp;"|"&amp;B42)</f>
        <v/>
      </c>
    </row>
    <row r="43">
      <c r="H43">
        <f>IF(OR(A43="",B43=""),"",A43&amp;"|"&amp;B43)</f>
        <v/>
      </c>
    </row>
    <row r="44">
      <c r="H44">
        <f>IF(OR(A44="",B44=""),"",A44&amp;"|"&amp;B44)</f>
        <v/>
      </c>
    </row>
    <row r="45">
      <c r="H45">
        <f>IF(OR(A45="",B45=""),"",A45&amp;"|"&amp;B45)</f>
        <v/>
      </c>
    </row>
    <row r="46">
      <c r="H46">
        <f>IF(OR(A46="",B46=""),"",A46&amp;"|"&amp;B46)</f>
        <v/>
      </c>
    </row>
    <row r="47">
      <c r="H47">
        <f>IF(OR(A47="",B47=""),"",A47&amp;"|"&amp;B47)</f>
        <v/>
      </c>
    </row>
    <row r="48">
      <c r="H48">
        <f>IF(OR(A48="",B48=""),"",A48&amp;"|"&amp;B48)</f>
        <v/>
      </c>
    </row>
    <row r="49">
      <c r="H49">
        <f>IF(OR(A49="",B49=""),"",A49&amp;"|"&amp;B49)</f>
        <v/>
      </c>
    </row>
    <row r="50">
      <c r="H50">
        <f>IF(OR(A50="",B50=""),"",A50&amp;"|"&amp;B50)</f>
        <v/>
      </c>
    </row>
    <row r="51">
      <c r="H51">
        <f>IF(OR(A51="",B51=""),"",A51&amp;"|"&amp;B51)</f>
        <v/>
      </c>
    </row>
    <row r="52">
      <c r="H52">
        <f>IF(OR(A52="",B52=""),"",A52&amp;"|"&amp;B52)</f>
        <v/>
      </c>
    </row>
    <row r="53">
      <c r="H53">
        <f>IF(OR(A53="",B53=""),"",A53&amp;"|"&amp;B53)</f>
        <v/>
      </c>
    </row>
    <row r="54">
      <c r="H54">
        <f>IF(OR(A54="",B54=""),"",A54&amp;"|"&amp;B54)</f>
        <v/>
      </c>
    </row>
    <row r="55">
      <c r="H55">
        <f>IF(OR(A55="",B55=""),"",A55&amp;"|"&amp;B55)</f>
        <v/>
      </c>
    </row>
    <row r="56">
      <c r="H56">
        <f>IF(OR(A56="",B56=""),"",A56&amp;"|"&amp;B56)</f>
        <v/>
      </c>
    </row>
    <row r="57">
      <c r="H57">
        <f>IF(OR(A57="",B57=""),"",A57&amp;"|"&amp;B57)</f>
        <v/>
      </c>
    </row>
    <row r="58">
      <c r="H58">
        <f>IF(OR(A58="",B58=""),"",A58&amp;"|"&amp;B58)</f>
        <v/>
      </c>
    </row>
    <row r="59">
      <c r="H59">
        <f>IF(OR(A59="",B59=""),"",A59&amp;"|"&amp;B59)</f>
        <v/>
      </c>
    </row>
    <row r="60">
      <c r="H60">
        <f>IF(OR(A60="",B60=""),"",A60&amp;"|"&amp;B60)</f>
        <v/>
      </c>
    </row>
    <row r="61">
      <c r="H61">
        <f>IF(OR(A61="",B61=""),"",A61&amp;"|"&amp;B61)</f>
        <v/>
      </c>
    </row>
    <row r="62">
      <c r="H62">
        <f>IF(OR(A62="",B62=""),"",A62&amp;"|"&amp;B62)</f>
        <v/>
      </c>
    </row>
    <row r="63">
      <c r="H63">
        <f>IF(OR(A63="",B63=""),"",A63&amp;"|"&amp;B63)</f>
        <v/>
      </c>
    </row>
    <row r="64">
      <c r="H64">
        <f>IF(OR(A64="",B64=""),"",A64&amp;"|"&amp;B64)</f>
        <v/>
      </c>
    </row>
    <row r="65">
      <c r="H65">
        <f>IF(OR(A65="",B65=""),"",A65&amp;"|"&amp;B65)</f>
        <v/>
      </c>
    </row>
    <row r="66">
      <c r="H66">
        <f>IF(OR(A66="",B66=""),"",A66&amp;"|"&amp;B66)</f>
        <v/>
      </c>
    </row>
    <row r="67">
      <c r="H67">
        <f>IF(OR(A67="",B67=""),"",A67&amp;"|"&amp;B67)</f>
        <v/>
      </c>
    </row>
    <row r="68">
      <c r="H68">
        <f>IF(OR(A68="",B68=""),"",A68&amp;"|"&amp;B68)</f>
        <v/>
      </c>
    </row>
    <row r="69">
      <c r="H69">
        <f>IF(OR(A69="",B69=""),"",A69&amp;"|"&amp;B69)</f>
        <v/>
      </c>
    </row>
    <row r="70">
      <c r="H70">
        <f>IF(OR(A70="",B70=""),"",A70&amp;"|"&amp;B70)</f>
        <v/>
      </c>
    </row>
    <row r="71">
      <c r="H71">
        <f>IF(OR(A71="",B71=""),"",A71&amp;"|"&amp;B71)</f>
        <v/>
      </c>
    </row>
    <row r="72">
      <c r="H72">
        <f>IF(OR(A72="",B72=""),"",A72&amp;"|"&amp;B72)</f>
        <v/>
      </c>
    </row>
    <row r="73">
      <c r="H73">
        <f>IF(OR(A73="",B73=""),"",A73&amp;"|"&amp;B73)</f>
        <v/>
      </c>
    </row>
    <row r="74">
      <c r="H74">
        <f>IF(OR(A74="",B74=""),"",A74&amp;"|"&amp;B74)</f>
        <v/>
      </c>
    </row>
    <row r="75">
      <c r="H75">
        <f>IF(OR(A75="",B75=""),"",A75&amp;"|"&amp;B75)</f>
        <v/>
      </c>
    </row>
    <row r="76">
      <c r="H76">
        <f>IF(OR(A76="",B76=""),"",A76&amp;"|"&amp;B76)</f>
        <v/>
      </c>
    </row>
    <row r="77">
      <c r="H77">
        <f>IF(OR(A77="",B77=""),"",A77&amp;"|"&amp;B77)</f>
        <v/>
      </c>
    </row>
    <row r="78">
      <c r="H78">
        <f>IF(OR(A78="",B78=""),"",A78&amp;"|"&amp;B78)</f>
        <v/>
      </c>
    </row>
    <row r="79">
      <c r="H79">
        <f>IF(OR(A79="",B79=""),"",A79&amp;"|"&amp;B79)</f>
        <v/>
      </c>
    </row>
    <row r="80">
      <c r="H80">
        <f>IF(OR(A80="",B80=""),"",A80&amp;"|"&amp;B80)</f>
        <v/>
      </c>
    </row>
    <row r="81">
      <c r="H81">
        <f>IF(OR(A81="",B81=""),"",A81&amp;"|"&amp;B81)</f>
        <v/>
      </c>
    </row>
    <row r="82">
      <c r="H82">
        <f>IF(OR(A82="",B82=""),"",A82&amp;"|"&amp;B82)</f>
        <v/>
      </c>
    </row>
    <row r="83">
      <c r="H83">
        <f>IF(OR(A83="",B83=""),"",A83&amp;"|"&amp;B83)</f>
        <v/>
      </c>
    </row>
    <row r="84">
      <c r="H84">
        <f>IF(OR(A84="",B84=""),"",A84&amp;"|"&amp;B84)</f>
        <v/>
      </c>
    </row>
    <row r="85">
      <c r="H85">
        <f>IF(OR(A85="",B85=""),"",A85&amp;"|"&amp;B85)</f>
        <v/>
      </c>
    </row>
    <row r="86">
      <c r="H86">
        <f>IF(OR(A86="",B86=""),"",A86&amp;"|"&amp;B86)</f>
        <v/>
      </c>
    </row>
    <row r="87">
      <c r="H87">
        <f>IF(OR(A87="",B87=""),"",A87&amp;"|"&amp;B87)</f>
        <v/>
      </c>
    </row>
    <row r="88">
      <c r="H88">
        <f>IF(OR(A88="",B88=""),"",A88&amp;"|"&amp;B88)</f>
        <v/>
      </c>
    </row>
    <row r="89">
      <c r="H89">
        <f>IF(OR(A89="",B89=""),"",A89&amp;"|"&amp;B89)</f>
        <v/>
      </c>
    </row>
    <row r="90">
      <c r="H90">
        <f>IF(OR(A90="",B90=""),"",A90&amp;"|"&amp;B90)</f>
        <v/>
      </c>
    </row>
    <row r="91">
      <c r="H91">
        <f>IF(OR(A91="",B91=""),"",A91&amp;"|"&amp;B91)</f>
        <v/>
      </c>
    </row>
    <row r="92">
      <c r="H92">
        <f>IF(OR(A92="",B92=""),"",A92&amp;"|"&amp;B92)</f>
        <v/>
      </c>
    </row>
    <row r="93">
      <c r="H93">
        <f>IF(OR(A93="",B93=""),"",A93&amp;"|"&amp;B93)</f>
        <v/>
      </c>
    </row>
    <row r="94">
      <c r="H94">
        <f>IF(OR(A94="",B94=""),"",A94&amp;"|"&amp;B94)</f>
        <v/>
      </c>
    </row>
    <row r="95">
      <c r="H95">
        <f>IF(OR(A95="",B95=""),"",A95&amp;"|"&amp;B95)</f>
        <v/>
      </c>
    </row>
    <row r="96">
      <c r="H96">
        <f>IF(OR(A96="",B96=""),"",A96&amp;"|"&amp;B96)</f>
        <v/>
      </c>
    </row>
    <row r="97">
      <c r="H97">
        <f>IF(OR(A97="",B97=""),"",A97&amp;"|"&amp;B97)</f>
        <v/>
      </c>
    </row>
    <row r="98">
      <c r="H98">
        <f>IF(OR(A98="",B98=""),"",A98&amp;"|"&amp;B98)</f>
        <v/>
      </c>
    </row>
    <row r="99">
      <c r="H99">
        <f>IF(OR(A99="",B99=""),"",A99&amp;"|"&amp;B99)</f>
        <v/>
      </c>
    </row>
    <row r="100">
      <c r="H100">
        <f>IF(OR(A100="",B100=""),"",A100&amp;"|"&amp;B100)</f>
        <v/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6" customWidth="1" min="5" max="5"/>
  </cols>
  <sheetData>
    <row r="1">
      <c r="A1" s="7" t="inlineStr">
        <is>
          <t>Gemini &amp; GPT Cost / Token Dashboard</t>
        </is>
      </c>
    </row>
    <row r="3">
      <c r="A3" t="inlineStr">
        <is>
          <t>Selected Month</t>
        </is>
      </c>
      <c r="B3" s="8" t="inlineStr">
        <is>
          <t>21-Aug-2026</t>
        </is>
      </c>
    </row>
    <row r="5">
      <c r="A5" s="1" t="inlineStr">
        <is>
          <t>KPI</t>
        </is>
      </c>
      <c r="B5" s="1" t="inlineStr">
        <is>
          <t>Gemini</t>
        </is>
      </c>
      <c r="C5" s="1" t="inlineStr">
        <is>
          <t>GPT</t>
        </is>
      </c>
      <c r="D5" s="1" t="inlineStr">
        <is>
          <t>Total</t>
        </is>
      </c>
    </row>
    <row r="6">
      <c r="A6" t="inlineStr">
        <is>
          <t>Requests</t>
        </is>
      </c>
      <c r="B6" s="3">
        <f>SUMIFS(Usage_Log!$G:$G,Usage_Log!$D:$D,"Google",Usage_Log!$A:$A,"&gt;="&amp;EOMONTH($B$3,-1)+1,Usage_Log!$A:$A,"&lt;"&amp;EOMONTH($B$3,0)+1)</f>
        <v/>
      </c>
      <c r="C6" s="3">
        <f>SUMIFS(Usage_Log!$G:$G,Usage_Log!$D:$D,"OpenAI",Usage_Log!$A:$A,"&gt;="&amp;EOMONTH($B$3,-1)+1,Usage_Log!$A:$A,"&lt;"&amp;EOMONTH($B$3,0)+1)</f>
        <v/>
      </c>
      <c r="D6" s="3">
        <f>B6+C6</f>
        <v/>
      </c>
    </row>
    <row r="7">
      <c r="A7" t="inlineStr">
        <is>
          <t>Input Tokens</t>
        </is>
      </c>
      <c r="B7" s="3">
        <f>SUMIFS(Usage_Log!$H:$H,Usage_Log!$D:$D,"Google",Usage_Log!$A:$A,"&gt;="&amp;EOMONTH($B$3,-1)+1,Usage_Log!$A:$A,"&lt;"&amp;EOMONTH($B$3,0)+1)</f>
        <v/>
      </c>
      <c r="C7" s="3">
        <f>SUMIFS(Usage_Log!$H:$H,Usage_Log!$D:$D,"OpenAI",Usage_Log!$A:$A,"&gt;="&amp;EOMONTH($B$3,-1)+1,Usage_Log!$A:$A,"&lt;"&amp;EOMONTH($B$3,0)+1)</f>
        <v/>
      </c>
      <c r="D7" s="3">
        <f>B7+C7</f>
        <v/>
      </c>
    </row>
    <row r="8">
      <c r="A8" t="inlineStr">
        <is>
          <t>Output Tokens</t>
        </is>
      </c>
      <c r="B8" s="3">
        <f>SUMIFS(Usage_Log!$I:$I,Usage_Log!$D:$D,"Google",Usage_Log!$A:$A,"&gt;="&amp;EOMONTH($B$3,-1)+1,Usage_Log!$A:$A,"&lt;"&amp;EOMONTH($B$3,0)+1)</f>
        <v/>
      </c>
      <c r="C8" s="3">
        <f>SUMIFS(Usage_Log!$I:$I,Usage_Log!$D:$D,"OpenAI",Usage_Log!$A:$A,"&gt;="&amp;EOMONTH($B$3,-1)+1,Usage_Log!$A:$A,"&lt;"&amp;EOMONTH($B$3,0)+1)</f>
        <v/>
      </c>
      <c r="D8" s="3">
        <f>B8+C8</f>
        <v/>
      </c>
    </row>
    <row r="9">
      <c r="A9" t="inlineStr">
        <is>
          <t>Total Tokens</t>
        </is>
      </c>
      <c r="B9" s="3">
        <f>SUMIFS(Usage_Log!$J:$J,Usage_Log!$D:$D,"Google",Usage_Log!$A:$A,"&gt;="&amp;EOMONTH($B$3,-1)+1,Usage_Log!$A:$A,"&lt;"&amp;EOMONTH($B$3,0)+1)</f>
        <v/>
      </c>
      <c r="C9" s="3">
        <f>SUMIFS(Usage_Log!$J:$J,Usage_Log!$D:$D,"OpenAI",Usage_Log!$A:$A,"&gt;="&amp;EOMONTH($B$3,-1)+1,Usage_Log!$A:$A,"&lt;"&amp;EOMONTH($B$3,0)+1)</f>
        <v/>
      </c>
      <c r="D9" s="3">
        <f>B9+C9</f>
        <v/>
      </c>
    </row>
    <row r="10">
      <c r="A10" t="inlineStr">
        <is>
          <t>Input Cost</t>
        </is>
      </c>
      <c r="B10" s="9">
        <f>SUMIFS(Usage_Log!$M:$M,Usage_Log!$D:$D,"Google",Usage_Log!$A:$A,"&gt;="&amp;EOMONTH($B$3,-1)+1,Usage_Log!$A:$A,"&lt;"&amp;EOMONTH($B$3,0)+1)</f>
        <v/>
      </c>
      <c r="C10" s="9">
        <f>SUMIFS(Usage_Log!$M:$M,Usage_Log!$D:$D,"OpenAI",Usage_Log!$A:$A,"&gt;="&amp;EOMONTH($B$3,-1)+1,Usage_Log!$A:$A,"&lt;"&amp;EOMONTH($B$3,0)+1)</f>
        <v/>
      </c>
      <c r="D10" s="9">
        <f>B10+C10</f>
        <v/>
      </c>
    </row>
    <row r="11">
      <c r="A11" t="inlineStr">
        <is>
          <t>Output Cost</t>
        </is>
      </c>
      <c r="B11" s="9">
        <f>SUMIFS(Usage_Log!$N:$N,Usage_Log!$D:$D,"Google",Usage_Log!$A:$A,"&gt;="&amp;EOMONTH($B$3,-1)+1,Usage_Log!$A:$A,"&lt;"&amp;EOMONTH($B$3,0)+1)</f>
        <v/>
      </c>
      <c r="C11" s="9">
        <f>SUMIFS(Usage_Log!$N:$N,Usage_Log!$D:$D,"OpenAI",Usage_Log!$A:$A,"&gt;="&amp;EOMONTH($B$3,-1)+1,Usage_Log!$A:$A,"&lt;"&amp;EOMONTH($B$3,0)+1)</f>
        <v/>
      </c>
      <c r="D11" s="9">
        <f>B11+C11</f>
        <v/>
      </c>
    </row>
    <row r="12">
      <c r="A12" t="inlineStr">
        <is>
          <t>Total Cost</t>
        </is>
      </c>
      <c r="B12" s="9">
        <f>SUMIFS(Usage_Log!$O:$O,Usage_Log!$D:$D,"Google",Usage_Log!$A:$A,"&gt;="&amp;EOMONTH($B$3,-1)+1,Usage_Log!$A:$A,"&lt;"&amp;EOMONTH($B$3,0)+1)</f>
        <v/>
      </c>
      <c r="C12" s="9">
        <f>SUMIFS(Usage_Log!$O:$O,Usage_Log!$D:$D,"OpenAI",Usage_Log!$A:$A,"&gt;="&amp;EOMONTH($B$3,-1)+1,Usage_Log!$A:$A,"&lt;"&amp;EOMONTH($B$3,0)+1)</f>
        <v/>
      </c>
      <c r="D12" s="9">
        <f>B12+C12</f>
        <v/>
      </c>
    </row>
    <row r="13">
      <c r="A13" t="inlineStr">
        <is>
          <t>Avg Cost / Request</t>
        </is>
      </c>
      <c r="B13" s="9">
        <f>IFERROR(B12/B6,0)</f>
        <v/>
      </c>
      <c r="C13" s="9">
        <f>IFERROR(C12/C6,0)</f>
        <v/>
      </c>
      <c r="D13" s="9">
        <f>B13+C13</f>
        <v/>
      </c>
    </row>
    <row r="14">
      <c r="A14" t="inlineStr">
        <is>
          <t>Avg Tokens / Request</t>
        </is>
      </c>
      <c r="B14" s="3">
        <f>IFERROR(B9/B6,0)</f>
        <v/>
      </c>
      <c r="C14" s="3">
        <f>IFERROR(C9/C6,0)</f>
        <v/>
      </c>
      <c r="D14" s="3">
        <f>B14+C14</f>
        <v/>
      </c>
    </row>
    <row r="17">
      <c r="A17" s="10" t="inlineStr">
        <is>
          <t>Cost by Project</t>
        </is>
      </c>
    </row>
    <row r="18">
      <c r="A18" s="1" t="inlineStr">
        <is>
          <t>Project</t>
        </is>
      </c>
      <c r="B18" s="1" t="inlineStr">
        <is>
          <t>Gemini Cost</t>
        </is>
      </c>
      <c r="C18" s="1" t="inlineStr">
        <is>
          <t>GPT Cost</t>
        </is>
      </c>
      <c r="D18" s="1" t="inlineStr">
        <is>
          <t>Total Cost</t>
        </is>
      </c>
      <c r="E18" s="1" t="inlineStr">
        <is>
          <t>% of Total</t>
        </is>
      </c>
    </row>
    <row r="19">
      <c r="A19" t="inlineStr">
        <is>
          <t>COV01</t>
        </is>
      </c>
      <c r="B19" s="9">
        <f>SUMIFS(Usage_Log!$O:$O,Usage_Log!$B:$B,$A19,Usage_Log!$D:$D,"Google",Usage_Log!$A:$A,"&gt;="&amp;EOMONTH($B$3,-1)+1,Usage_Log!$A:$A,"&lt;"&amp;EOMONTH($B$3,0)+1)</f>
        <v/>
      </c>
      <c r="C19" s="9">
        <f>SUMIFS(Usage_Log!$O:$O,Usage_Log!$B:$B,$A19,Usage_Log!$D:$D,"OpenAI",Usage_Log!$A:$A,"&gt;="&amp;EOMONTH($B$3,-1)+1,Usage_Log!$A:$A,"&lt;"&amp;EOMONTH($B$3,0)+1)</f>
        <v/>
      </c>
      <c r="D19" s="9">
        <f>B19+C19</f>
        <v/>
      </c>
      <c r="E19" s="11">
        <f>IFERROR(D19/$D$12,0)</f>
        <v/>
      </c>
    </row>
    <row r="20">
      <c r="A20" t="inlineStr">
        <is>
          <t>Horizon Scanning</t>
        </is>
      </c>
      <c r="B20" s="9">
        <f>SUMIFS(Usage_Log!$O:$O,Usage_Log!$B:$B,$A20,Usage_Log!$D:$D,"Google",Usage_Log!$A:$A,"&gt;="&amp;EOMONTH($B$3,-1)+1,Usage_Log!$A:$A,"&lt;"&amp;EOMONTH($B$3,0)+1)</f>
        <v/>
      </c>
      <c r="C20" s="9">
        <f>SUMIFS(Usage_Log!$O:$O,Usage_Log!$B:$B,$A20,Usage_Log!$D:$D,"OpenAI",Usage_Log!$A:$A,"&gt;="&amp;EOMONTH($B$3,-1)+1,Usage_Log!$A:$A,"&lt;"&amp;EOMONTH($B$3,0)+1)</f>
        <v/>
      </c>
      <c r="D20" s="9">
        <f>B20+C20</f>
        <v/>
      </c>
      <c r="E20" s="11">
        <f>IFERROR(D20/$D$12,0)</f>
        <v/>
      </c>
    </row>
    <row r="21">
      <c r="A21" t="inlineStr">
        <is>
          <t>Advisory Optimization</t>
        </is>
      </c>
      <c r="B21" s="9">
        <f>SUMIFS(Usage_Log!$O:$O,Usage_Log!$B:$B,$A21,Usage_Log!$D:$D,"Google",Usage_Log!$A:$A,"&gt;="&amp;EOMONTH($B$3,-1)+1,Usage_Log!$A:$A,"&lt;"&amp;EOMONTH($B$3,0)+1)</f>
        <v/>
      </c>
      <c r="C21" s="9">
        <f>SUMIFS(Usage_Log!$O:$O,Usage_Log!$B:$B,$A21,Usage_Log!$D:$D,"OpenAI",Usage_Log!$A:$A,"&gt;="&amp;EOMONTH($B$3,-1)+1,Usage_Log!$A:$A,"&lt;"&amp;EOMONTH($B$3,0)+1)</f>
        <v/>
      </c>
      <c r="D21" s="9">
        <f>B21+C21</f>
        <v/>
      </c>
      <c r="E21" s="11">
        <f>IFERROR(D21/$D$12,0)</f>
        <v/>
      </c>
    </row>
    <row r="22">
      <c r="A22" t="inlineStr">
        <is>
          <t>MI Intelligence</t>
        </is>
      </c>
      <c r="B22" s="9">
        <f>SUMIFS(Usage_Log!$O:$O,Usage_Log!$B:$B,$A22,Usage_Log!$D:$D,"Google",Usage_Log!$A:$A,"&gt;="&amp;EOMONTH($B$3,-1)+1,Usage_Log!$A:$A,"&lt;"&amp;EOMONTH($B$3,0)+1)</f>
        <v/>
      </c>
      <c r="C22" s="9">
        <f>SUMIFS(Usage_Log!$O:$O,Usage_Log!$B:$B,$A22,Usage_Log!$D:$D,"OpenAI",Usage_Log!$A:$A,"&gt;="&amp;EOMONTH($B$3,-1)+1,Usage_Log!$A:$A,"&lt;"&amp;EOMONTH($B$3,0)+1)</f>
        <v/>
      </c>
      <c r="D22" s="9">
        <f>B22+C22</f>
        <v/>
      </c>
      <c r="E22" s="11">
        <f>IFERROR(D22/$D$12,0)</f>
        <v/>
      </c>
    </row>
    <row r="23">
      <c r="A23" t="inlineStr">
        <is>
          <t>Smart Document Search</t>
        </is>
      </c>
      <c r="B23" s="9">
        <f>SUMIFS(Usage_Log!$O:$O,Usage_Log!$B:$B,$A23,Usage_Log!$D:$D,"Google",Usage_Log!$A:$A,"&gt;="&amp;EOMONTH($B$3,-1)+1,Usage_Log!$A:$A,"&lt;"&amp;EOMONTH($B$3,0)+1)</f>
        <v/>
      </c>
      <c r="C23" s="9">
        <f>SUMIFS(Usage_Log!$O:$O,Usage_Log!$B:$B,$A23,Usage_Log!$D:$D,"OpenAI",Usage_Log!$A:$A,"&gt;="&amp;EOMONTH($B$3,-1)+1,Usage_Log!$A:$A,"&lt;"&amp;EOMONTH($B$3,0)+1)</f>
        <v/>
      </c>
      <c r="D23" s="9">
        <f>B23+C23</f>
        <v/>
      </c>
      <c r="E23" s="11">
        <f>IFERROR(D23/$D$12,0)</f>
        <v/>
      </c>
    </row>
    <row r="24">
      <c r="A24" t="inlineStr">
        <is>
          <t>Other</t>
        </is>
      </c>
      <c r="B24" s="9">
        <f>SUMIFS(Usage_Log!$O:$O,Usage_Log!$B:$B,$A24,Usage_Log!$D:$D,"Google",Usage_Log!$A:$A,"&gt;="&amp;EOMONTH($B$3,-1)+1,Usage_Log!$A:$A,"&lt;"&amp;EOMONTH($B$3,0)+1)</f>
        <v/>
      </c>
      <c r="C24" s="9">
        <f>SUMIFS(Usage_Log!$O:$O,Usage_Log!$B:$B,$A24,Usage_Log!$D:$D,"OpenAI",Usage_Log!$A:$A,"&gt;="&amp;EOMONTH($B$3,-1)+1,Usage_Log!$A:$A,"&lt;"&amp;EOMONTH($B$3,0)+1)</f>
        <v/>
      </c>
      <c r="D24" s="9">
        <f>B24+C24</f>
        <v/>
      </c>
      <c r="E24" s="11">
        <f>IFERROR(D24/$D$12,0)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30" customWidth="1" min="7" max="7"/>
  </cols>
  <sheetData>
    <row r="1">
      <c r="A1" s="1" t="inlineStr">
        <is>
          <t>Month</t>
        </is>
      </c>
      <c r="B1" s="1" t="inlineStr">
        <is>
          <t>Budget USD</t>
        </is>
      </c>
      <c r="C1" s="1" t="inlineStr">
        <is>
          <t>Actual USD</t>
        </is>
      </c>
      <c r="D1" s="1" t="inlineStr">
        <is>
          <t>Variance USD</t>
        </is>
      </c>
      <c r="E1" s="1" t="inlineStr">
        <is>
          <t>Utilisation %</t>
        </is>
      </c>
      <c r="F1" s="1" t="inlineStr">
        <is>
          <t>Status</t>
        </is>
      </c>
      <c r="G1" s="1" t="inlineStr">
        <is>
          <t>Notes</t>
        </is>
      </c>
    </row>
    <row r="2">
      <c r="A2" s="8">
        <f>DATE(2026,1,1)</f>
        <v/>
      </c>
      <c r="B2" s="9" t="n">
        <v>0</v>
      </c>
      <c r="C2" s="9">
        <f>SUMIFS(Usage_Log!$O:$O,Usage_Log!$A:$A,"&gt;="&amp;A2,Usage_Log!$A:$A,"&lt;"&amp;EDATE(A2,1))</f>
        <v/>
      </c>
      <c r="D2" s="9">
        <f>B2-C2</f>
        <v/>
      </c>
      <c r="E2" s="11">
        <f>IFERROR(C2/B2,0)</f>
        <v/>
      </c>
      <c r="F2">
        <f>IF(E2&gt;=1,"RED",IF(E2&gt;=0.8,"AMBER","GREEN"))</f>
        <v/>
      </c>
    </row>
    <row r="3">
      <c r="A3" s="8">
        <f>DATE(2026,2,1)</f>
        <v/>
      </c>
      <c r="B3" s="9" t="n">
        <v>0</v>
      </c>
      <c r="C3" s="9">
        <f>SUMIFS(Usage_Log!$O:$O,Usage_Log!$A:$A,"&gt;="&amp;A3,Usage_Log!$A:$A,"&lt;"&amp;EDATE(A3,1))</f>
        <v/>
      </c>
      <c r="D3" s="9">
        <f>B3-C3</f>
        <v/>
      </c>
      <c r="E3" s="11">
        <f>IFERROR(C3/B3,0)</f>
        <v/>
      </c>
      <c r="F3">
        <f>IF(E3&gt;=1,"RED",IF(E3&gt;=0.8,"AMBER","GREEN"))</f>
        <v/>
      </c>
    </row>
    <row r="4">
      <c r="A4" s="8">
        <f>DATE(2026,3,1)</f>
        <v/>
      </c>
      <c r="B4" s="9" t="n">
        <v>0</v>
      </c>
      <c r="C4" s="9">
        <f>SUMIFS(Usage_Log!$O:$O,Usage_Log!$A:$A,"&gt;="&amp;A4,Usage_Log!$A:$A,"&lt;"&amp;EDATE(A4,1))</f>
        <v/>
      </c>
      <c r="D4" s="9">
        <f>B4-C4</f>
        <v/>
      </c>
      <c r="E4" s="11">
        <f>IFERROR(C4/B4,0)</f>
        <v/>
      </c>
      <c r="F4">
        <f>IF(E4&gt;=1,"RED",IF(E4&gt;=0.8,"AMBER","GREEN"))</f>
        <v/>
      </c>
    </row>
    <row r="5">
      <c r="A5" s="8">
        <f>DATE(2026,4,1)</f>
        <v/>
      </c>
      <c r="B5" s="9" t="n">
        <v>0</v>
      </c>
      <c r="C5" s="9">
        <f>SUMIFS(Usage_Log!$O:$O,Usage_Log!$A:$A,"&gt;="&amp;A5,Usage_Log!$A:$A,"&lt;"&amp;EDATE(A5,1))</f>
        <v/>
      </c>
      <c r="D5" s="9">
        <f>B5-C5</f>
        <v/>
      </c>
      <c r="E5" s="11">
        <f>IFERROR(C5/B5,0)</f>
        <v/>
      </c>
      <c r="F5">
        <f>IF(E5&gt;=1,"RED",IF(E5&gt;=0.8,"AMBER","GREEN"))</f>
        <v/>
      </c>
    </row>
    <row r="6">
      <c r="A6" s="8">
        <f>DATE(2026,5,1)</f>
        <v/>
      </c>
      <c r="B6" s="9" t="n">
        <v>0</v>
      </c>
      <c r="C6" s="9">
        <f>SUMIFS(Usage_Log!$O:$O,Usage_Log!$A:$A,"&gt;="&amp;A6,Usage_Log!$A:$A,"&lt;"&amp;EDATE(A6,1))</f>
        <v/>
      </c>
      <c r="D6" s="9">
        <f>B6-C6</f>
        <v/>
      </c>
      <c r="E6" s="11">
        <f>IFERROR(C6/B6,0)</f>
        <v/>
      </c>
      <c r="F6">
        <f>IF(E6&gt;=1,"RED",IF(E6&gt;=0.8,"AMBER","GREEN"))</f>
        <v/>
      </c>
    </row>
    <row r="7">
      <c r="A7" s="8">
        <f>DATE(2026,6,1)</f>
        <v/>
      </c>
      <c r="B7" s="9" t="n">
        <v>0</v>
      </c>
      <c r="C7" s="9">
        <f>SUMIFS(Usage_Log!$O:$O,Usage_Log!$A:$A,"&gt;="&amp;A7,Usage_Log!$A:$A,"&lt;"&amp;EDATE(A7,1))</f>
        <v/>
      </c>
      <c r="D7" s="9">
        <f>B7-C7</f>
        <v/>
      </c>
      <c r="E7" s="11">
        <f>IFERROR(C7/B7,0)</f>
        <v/>
      </c>
      <c r="F7">
        <f>IF(E7&gt;=1,"RED",IF(E7&gt;=0.8,"AMBER","GREEN"))</f>
        <v/>
      </c>
    </row>
    <row r="8">
      <c r="A8" s="8">
        <f>DATE(2026,7,1)</f>
        <v/>
      </c>
      <c r="B8" s="9" t="n">
        <v>0</v>
      </c>
      <c r="C8" s="9">
        <f>SUMIFS(Usage_Log!$O:$O,Usage_Log!$A:$A,"&gt;="&amp;A8,Usage_Log!$A:$A,"&lt;"&amp;EDATE(A8,1))</f>
        <v/>
      </c>
      <c r="D8" s="9">
        <f>B8-C8</f>
        <v/>
      </c>
      <c r="E8" s="11">
        <f>IFERROR(C8/B8,0)</f>
        <v/>
      </c>
      <c r="F8">
        <f>IF(E8&gt;=1,"RED",IF(E8&gt;=0.8,"AMBER","GREEN"))</f>
        <v/>
      </c>
    </row>
    <row r="9">
      <c r="A9" s="8">
        <f>DATE(2026,8,1)</f>
        <v/>
      </c>
      <c r="B9" s="9" t="n">
        <v>0</v>
      </c>
      <c r="C9" s="9">
        <f>SUMIFS(Usage_Log!$O:$O,Usage_Log!$A:$A,"&gt;="&amp;A9,Usage_Log!$A:$A,"&lt;"&amp;EDATE(A9,1))</f>
        <v/>
      </c>
      <c r="D9" s="9">
        <f>B9-C9</f>
        <v/>
      </c>
      <c r="E9" s="11">
        <f>IFERROR(C9/B9,0)</f>
        <v/>
      </c>
      <c r="F9">
        <f>IF(E9&gt;=1,"RED",IF(E9&gt;=0.8,"AMBER","GREEN"))</f>
        <v/>
      </c>
    </row>
    <row r="10">
      <c r="A10" s="8">
        <f>DATE(2026,9,1)</f>
        <v/>
      </c>
      <c r="B10" s="9" t="n">
        <v>0</v>
      </c>
      <c r="C10" s="9">
        <f>SUMIFS(Usage_Log!$O:$O,Usage_Log!$A:$A,"&gt;="&amp;A10,Usage_Log!$A:$A,"&lt;"&amp;EDATE(A10,1))</f>
        <v/>
      </c>
      <c r="D10" s="9">
        <f>B10-C10</f>
        <v/>
      </c>
      <c r="E10" s="11">
        <f>IFERROR(C10/B10,0)</f>
        <v/>
      </c>
      <c r="F10">
        <f>IF(E10&gt;=1,"RED",IF(E10&gt;=0.8,"AMBER","GREEN"))</f>
        <v/>
      </c>
    </row>
    <row r="11">
      <c r="A11" s="8">
        <f>DATE(2026,10,1)</f>
        <v/>
      </c>
      <c r="B11" s="9" t="n">
        <v>0</v>
      </c>
      <c r="C11" s="9">
        <f>SUMIFS(Usage_Log!$O:$O,Usage_Log!$A:$A,"&gt;="&amp;A11,Usage_Log!$A:$A,"&lt;"&amp;EDATE(A11,1))</f>
        <v/>
      </c>
      <c r="D11" s="9">
        <f>B11-C11</f>
        <v/>
      </c>
      <c r="E11" s="11">
        <f>IFERROR(C11/B11,0)</f>
        <v/>
      </c>
      <c r="F11">
        <f>IF(E11&gt;=1,"RED",IF(E11&gt;=0.8,"AMBER","GREEN"))</f>
        <v/>
      </c>
    </row>
    <row r="12">
      <c r="A12" s="8">
        <f>DATE(2026,11,1)</f>
        <v/>
      </c>
      <c r="B12" s="9" t="n">
        <v>0</v>
      </c>
      <c r="C12" s="9">
        <f>SUMIFS(Usage_Log!$O:$O,Usage_Log!$A:$A,"&gt;="&amp;A12,Usage_Log!$A:$A,"&lt;"&amp;EDATE(A12,1))</f>
        <v/>
      </c>
      <c r="D12" s="9">
        <f>B12-C12</f>
        <v/>
      </c>
      <c r="E12" s="11">
        <f>IFERROR(C12/B12,0)</f>
        <v/>
      </c>
      <c r="F12">
        <f>IF(E12&gt;=1,"RED",IF(E12&gt;=0.8,"AMBER","GREEN"))</f>
        <v/>
      </c>
    </row>
    <row r="13">
      <c r="A13" s="8">
        <f>DATE(2026,12,1)</f>
        <v/>
      </c>
      <c r="B13" s="9" t="n">
        <v>0</v>
      </c>
      <c r="C13" s="9">
        <f>SUMIFS(Usage_Log!$O:$O,Usage_Log!$A:$A,"&gt;="&amp;A13,Usage_Log!$A:$A,"&lt;"&amp;EDATE(A13,1))</f>
        <v/>
      </c>
      <c r="D13" s="9">
        <f>B13-C13</f>
        <v/>
      </c>
      <c r="E13" s="11">
        <f>IFERROR(C13/B13,0)</f>
        <v/>
      </c>
      <c r="F13">
        <f>IF(E13&gt;=1,"RED",IF(E13&gt;=0.8,"AMBER","GREEN"))</f>
        <v/>
      </c>
    </row>
  </sheetData>
  <conditionalFormatting sqref="F2:F13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Environment</t>
        </is>
      </c>
      <c r="C1" t="inlineStr">
        <is>
          <t>Use Case</t>
        </is>
      </c>
      <c r="D1" t="inlineStr">
        <is>
          <t>Currency</t>
        </is>
      </c>
    </row>
    <row r="2">
      <c r="A2" t="inlineStr">
        <is>
          <t>Google</t>
        </is>
      </c>
      <c r="B2" t="inlineStr">
        <is>
          <t>POC</t>
        </is>
      </c>
      <c r="C2" t="inlineStr">
        <is>
          <t>Evaluation</t>
        </is>
      </c>
      <c r="D2" t="inlineStr">
        <is>
          <t>USD</t>
        </is>
      </c>
    </row>
    <row r="3">
      <c r="A3" t="inlineStr">
        <is>
          <t>OpenAI</t>
        </is>
      </c>
      <c r="B3" t="inlineStr">
        <is>
          <t>Dev</t>
        </is>
      </c>
      <c r="C3" t="inlineStr">
        <is>
          <t>Development</t>
        </is>
      </c>
      <c r="D3" t="inlineStr">
        <is>
          <t>INR</t>
        </is>
      </c>
    </row>
    <row r="4">
      <c r="A4" t="inlineStr"/>
      <c r="B4" t="inlineStr">
        <is>
          <t>UAT</t>
        </is>
      </c>
      <c r="C4" t="inlineStr">
        <is>
          <t>Production</t>
        </is>
      </c>
      <c r="D4" t="inlineStr"/>
    </row>
    <row r="5">
      <c r="A5" t="inlineStr"/>
      <c r="B5" t="inlineStr">
        <is>
          <t>Prod</t>
        </is>
      </c>
      <c r="C5" t="inlineStr">
        <is>
          <t>Experimentation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2026-08-21T11:17:05Z</dcterms:created>
  <dcterms:modified xmlns:dcterms="http://purl.org/dc/terms/" xmlns:xsi="http://www.w3.org/2001/XMLSchema-instance" xsi:type="dcterms:W3CDTF">2026-08-21T11:17:05Z</dcterms:modified>
</cp:coreProperties>
</file>