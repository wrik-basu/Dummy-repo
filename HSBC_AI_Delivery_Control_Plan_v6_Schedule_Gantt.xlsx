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900\Downloads\"/>
    </mc:Choice>
  </mc:AlternateContent>
  <xr:revisionPtr revIDLastSave="0" documentId="8_{17833F4E-2224-4399-8BDB-2FC532E65FF6}" xr6:coauthVersionLast="47" xr6:coauthVersionMax="47" xr10:uidLastSave="{00000000-0000-0000-0000-000000000000}"/>
  <bookViews>
    <workbookView xWindow="28680" yWindow="-120" windowWidth="29040" windowHeight="15720" firstSheet="7" activeTab="13" xr2:uid="{00000000-000D-0000-FFFF-FFFF00000000}"/>
  </bookViews>
  <sheets>
    <sheet name="Executive Dashboard" sheetId="1" r:id="rId1"/>
    <sheet name="How to Operate" sheetId="2" r:id="rId2"/>
    <sheet name="Delivery Plan" sheetId="3" r:id="rId3"/>
    <sheet name="Management Gantt" sheetId="4" r:id="rId4"/>
    <sheet name="Schedule Calendar" sheetId="5" r:id="rId5"/>
    <sheet name="Resource &amp; Capacity" sheetId="6" r:id="rId6"/>
    <sheet name="External Dependency Register" sheetId="7" r:id="rId7"/>
    <sheet name="RAID Log" sheetId="8" r:id="rId8"/>
    <sheet name="Governance Tracker" sheetId="9" r:id="rId9"/>
    <sheet name="Monitoring &amp; Handover" sheetId="10" r:id="rId10"/>
    <sheet name="Assumptions &amp; Calendar" sheetId="11" r:id="rId11"/>
    <sheet name="RACI" sheetId="12" r:id="rId12"/>
    <sheet name="Critical Path" sheetId="13" r:id="rId13"/>
    <sheet name="Management Resource Ask" sheetId="14" r:id="rId14"/>
  </sheets>
  <definedNames>
    <definedName name="_xlnm._FilterDatabase" localSheetId="10" hidden="1">'Assumptions &amp; Calendar'!$A$2:$G$12</definedName>
    <definedName name="_xlnm._FilterDatabase" localSheetId="12" hidden="1">'Critical Path'!$A$2:$H$13</definedName>
    <definedName name="_xlnm._FilterDatabase" localSheetId="2" hidden="1">'Delivery Plan'!$A$3:$V$59</definedName>
    <definedName name="_xlnm._FilterDatabase" localSheetId="6" hidden="1">'External Dependency Register'!$A$2:$L$15</definedName>
    <definedName name="_xlnm._FilterDatabase" localSheetId="8" hidden="1">'Governance Tracker'!$A$2:$L$10</definedName>
    <definedName name="_xlnm._FilterDatabase" localSheetId="13" hidden="1">'Management Resource Ask'!$A$2:$H$25</definedName>
    <definedName name="_xlnm._FilterDatabase" localSheetId="9" hidden="1">'Monitoring &amp; Handover'!$A$2:$J$8</definedName>
    <definedName name="_xlnm._FilterDatabase" localSheetId="11" hidden="1">RACI!$A$2:$I$16</definedName>
    <definedName name="_xlnm._FilterDatabase" localSheetId="7" hidden="1">'RAID Log'!$A$2:$L$14</definedName>
    <definedName name="_xlnm._FilterDatabase" localSheetId="5" hidden="1">'Resource &amp; Capacity'!$A$2:$K$22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0" i="5" l="1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I15" i="4"/>
  <c r="I14" i="4"/>
  <c r="I13" i="4"/>
  <c r="I12" i="4"/>
  <c r="I11" i="4"/>
  <c r="I10" i="4"/>
  <c r="I9" i="4"/>
  <c r="I8" i="4"/>
  <c r="I7" i="4"/>
  <c r="I6" i="4"/>
  <c r="I5" i="4"/>
  <c r="J4" i="4"/>
  <c r="I4" i="4"/>
  <c r="K59" i="3"/>
  <c r="H59" i="3"/>
  <c r="K58" i="3"/>
  <c r="H58" i="3"/>
  <c r="R57" i="3"/>
  <c r="Q57" i="3"/>
  <c r="K15" i="4" s="1"/>
  <c r="P57" i="3"/>
  <c r="J15" i="4" s="1"/>
  <c r="I57" i="3"/>
  <c r="G57" i="3"/>
  <c r="E15" i="4" s="1"/>
  <c r="F57" i="3"/>
  <c r="K56" i="3"/>
  <c r="H56" i="3"/>
  <c r="K55" i="3"/>
  <c r="H55" i="3"/>
  <c r="R54" i="3"/>
  <c r="Q54" i="3"/>
  <c r="K14" i="4" s="1"/>
  <c r="P54" i="3"/>
  <c r="J14" i="4" s="1"/>
  <c r="I54" i="3"/>
  <c r="G54" i="3"/>
  <c r="E14" i="4" s="1"/>
  <c r="F54" i="3"/>
  <c r="K53" i="3"/>
  <c r="H53" i="3"/>
  <c r="K52" i="3"/>
  <c r="H52" i="3"/>
  <c r="K51" i="3"/>
  <c r="H51" i="3"/>
  <c r="K50" i="3"/>
  <c r="H50" i="3"/>
  <c r="K49" i="3"/>
  <c r="H49" i="3"/>
  <c r="K48" i="3"/>
  <c r="H48" i="3"/>
  <c r="K47" i="3"/>
  <c r="H47" i="3"/>
  <c r="R46" i="3"/>
  <c r="Q46" i="3"/>
  <c r="K13" i="4" s="1"/>
  <c r="P46" i="3"/>
  <c r="J13" i="4" s="1"/>
  <c r="I46" i="3"/>
  <c r="G46" i="3"/>
  <c r="E13" i="4" s="1"/>
  <c r="F46" i="3"/>
  <c r="K45" i="3"/>
  <c r="H45" i="3"/>
  <c r="K44" i="3"/>
  <c r="H44" i="3"/>
  <c r="K43" i="3"/>
  <c r="H43" i="3"/>
  <c r="K42" i="3"/>
  <c r="H42" i="3"/>
  <c r="R41" i="3"/>
  <c r="Q41" i="3"/>
  <c r="K12" i="4" s="1"/>
  <c r="P41" i="3"/>
  <c r="J12" i="4" s="1"/>
  <c r="I41" i="3"/>
  <c r="G41" i="3"/>
  <c r="E12" i="4" s="1"/>
  <c r="F41" i="3"/>
  <c r="K40" i="3"/>
  <c r="H40" i="3"/>
  <c r="K39" i="3"/>
  <c r="H39" i="3"/>
  <c r="K38" i="3"/>
  <c r="H38" i="3"/>
  <c r="R37" i="3"/>
  <c r="Q37" i="3"/>
  <c r="K11" i="4" s="1"/>
  <c r="P37" i="3"/>
  <c r="J11" i="4" s="1"/>
  <c r="I37" i="3"/>
  <c r="G37" i="3"/>
  <c r="E11" i="4" s="1"/>
  <c r="F37" i="3"/>
  <c r="K36" i="3"/>
  <c r="H36" i="3"/>
  <c r="K35" i="3"/>
  <c r="H35" i="3"/>
  <c r="K34" i="3"/>
  <c r="H34" i="3"/>
  <c r="R33" i="3"/>
  <c r="Q33" i="3"/>
  <c r="K10" i="4" s="1"/>
  <c r="P33" i="3"/>
  <c r="J10" i="4" s="1"/>
  <c r="I33" i="3"/>
  <c r="G33" i="3"/>
  <c r="E10" i="4" s="1"/>
  <c r="F33" i="3"/>
  <c r="K32" i="3"/>
  <c r="H32" i="3"/>
  <c r="K31" i="3"/>
  <c r="H31" i="3"/>
  <c r="K30" i="3"/>
  <c r="H30" i="3"/>
  <c r="R29" i="3"/>
  <c r="Q29" i="3"/>
  <c r="K9" i="4" s="1"/>
  <c r="P29" i="3"/>
  <c r="J9" i="4" s="1"/>
  <c r="I29" i="3"/>
  <c r="G29" i="3"/>
  <c r="E9" i="4" s="1"/>
  <c r="F29" i="3"/>
  <c r="K28" i="3"/>
  <c r="H28" i="3"/>
  <c r="K27" i="3"/>
  <c r="H27" i="3"/>
  <c r="K26" i="3"/>
  <c r="H26" i="3"/>
  <c r="R25" i="3"/>
  <c r="Q25" i="3"/>
  <c r="K8" i="4" s="1"/>
  <c r="P25" i="3"/>
  <c r="J8" i="4" s="1"/>
  <c r="I25" i="3"/>
  <c r="G25" i="3"/>
  <c r="E8" i="4" s="1"/>
  <c r="F25" i="3"/>
  <c r="K24" i="3"/>
  <c r="H24" i="3"/>
  <c r="K23" i="3"/>
  <c r="H23" i="3"/>
  <c r="K22" i="3"/>
  <c r="H22" i="3"/>
  <c r="R21" i="3"/>
  <c r="Q21" i="3"/>
  <c r="K7" i="4" s="1"/>
  <c r="P21" i="3"/>
  <c r="J7" i="4" s="1"/>
  <c r="I21" i="3"/>
  <c r="G21" i="3"/>
  <c r="E7" i="4" s="1"/>
  <c r="F21" i="3"/>
  <c r="K20" i="3"/>
  <c r="H20" i="3"/>
  <c r="K19" i="3"/>
  <c r="H19" i="3"/>
  <c r="K18" i="3"/>
  <c r="H18" i="3"/>
  <c r="K17" i="3"/>
  <c r="H17" i="3"/>
  <c r="K16" i="3"/>
  <c r="H16" i="3"/>
  <c r="R15" i="3"/>
  <c r="Q15" i="3"/>
  <c r="K6" i="4" s="1"/>
  <c r="P15" i="3"/>
  <c r="J6" i="4" s="1"/>
  <c r="I15" i="3"/>
  <c r="G15" i="3"/>
  <c r="E6" i="4" s="1"/>
  <c r="F15" i="3"/>
  <c r="K14" i="3"/>
  <c r="H14" i="3"/>
  <c r="K13" i="3"/>
  <c r="H13" i="3"/>
  <c r="K12" i="3"/>
  <c r="H12" i="3"/>
  <c r="K11" i="3"/>
  <c r="H11" i="3"/>
  <c r="K10" i="3"/>
  <c r="H10" i="3"/>
  <c r="K9" i="3"/>
  <c r="H9" i="3"/>
  <c r="R8" i="3"/>
  <c r="Q8" i="3"/>
  <c r="K5" i="4" s="1"/>
  <c r="P8" i="3"/>
  <c r="J5" i="4" s="1"/>
  <c r="I8" i="3"/>
  <c r="G8" i="3"/>
  <c r="E5" i="4" s="1"/>
  <c r="F8" i="3"/>
  <c r="K7" i="3"/>
  <c r="H7" i="3"/>
  <c r="K6" i="3"/>
  <c r="H6" i="3"/>
  <c r="L5" i="3"/>
  <c r="K5" i="3"/>
  <c r="H5" i="3"/>
  <c r="R4" i="3"/>
  <c r="Q4" i="3"/>
  <c r="K4" i="4" s="1"/>
  <c r="I4" i="3"/>
  <c r="G4" i="3"/>
  <c r="E4" i="4" s="1"/>
  <c r="F4" i="3"/>
  <c r="K57" i="3" l="1"/>
  <c r="H15" i="4"/>
  <c r="D15" i="4"/>
  <c r="H57" i="3"/>
  <c r="K54" i="3"/>
  <c r="H14" i="4"/>
  <c r="H54" i="3"/>
  <c r="D14" i="4"/>
  <c r="K46" i="3"/>
  <c r="H13" i="4"/>
  <c r="H46" i="3"/>
  <c r="D13" i="4"/>
  <c r="H12" i="4"/>
  <c r="K41" i="3"/>
  <c r="D12" i="4"/>
  <c r="H41" i="3"/>
  <c r="K37" i="3"/>
  <c r="H11" i="4"/>
  <c r="H37" i="3"/>
  <c r="D11" i="4"/>
  <c r="H10" i="4"/>
  <c r="K33" i="3"/>
  <c r="D10" i="4"/>
  <c r="H33" i="3"/>
  <c r="K29" i="3"/>
  <c r="H9" i="4"/>
  <c r="H29" i="3"/>
  <c r="D9" i="4"/>
  <c r="H8" i="4"/>
  <c r="K25" i="3"/>
  <c r="D8" i="4"/>
  <c r="H25" i="3"/>
  <c r="H7" i="4"/>
  <c r="K21" i="3"/>
  <c r="D7" i="4"/>
  <c r="H21" i="3"/>
  <c r="H6" i="4"/>
  <c r="K15" i="3"/>
  <c r="D6" i="4"/>
  <c r="H15" i="3"/>
  <c r="H5" i="4"/>
  <c r="K8" i="3"/>
  <c r="H8" i="3"/>
  <c r="D5" i="4"/>
  <c r="M5" i="3"/>
  <c r="N5" i="3" s="1"/>
  <c r="H4" i="4"/>
  <c r="K4" i="3"/>
  <c r="H4" i="3"/>
  <c r="D4" i="4"/>
  <c r="L6" i="3" l="1"/>
  <c r="M6" i="3" l="1"/>
  <c r="N6" i="3" s="1"/>
  <c r="L7" i="3" l="1"/>
  <c r="L4" i="3" l="1"/>
  <c r="M7" i="3"/>
  <c r="F4" i="4" l="1"/>
  <c r="M4" i="3"/>
  <c r="N4" i="3" s="1"/>
  <c r="N7" i="3"/>
  <c r="G4" i="4" l="1"/>
  <c r="L9" i="3"/>
  <c r="M9" i="3" l="1"/>
  <c r="N9" i="3" s="1"/>
  <c r="L10" i="3" l="1"/>
  <c r="M10" i="3" l="1"/>
  <c r="N10" i="3" s="1"/>
  <c r="L12" i="3" l="1"/>
  <c r="L11" i="3"/>
  <c r="L13" i="3"/>
  <c r="M12" i="3" l="1"/>
  <c r="N12" i="3" s="1"/>
  <c r="M11" i="3"/>
  <c r="N11" i="3" s="1"/>
  <c r="M13" i="3"/>
  <c r="L14" i="3" l="1"/>
  <c r="N13" i="3"/>
  <c r="M14" i="3" l="1"/>
  <c r="L8" i="3"/>
  <c r="F5" i="4" l="1"/>
  <c r="M8" i="3"/>
  <c r="N8" i="3" s="1"/>
  <c r="N14" i="3"/>
  <c r="L30" i="3" l="1"/>
  <c r="G5" i="4"/>
  <c r="L17" i="3"/>
  <c r="L16" i="3"/>
  <c r="M30" i="3" l="1"/>
  <c r="N30" i="3" s="1"/>
  <c r="M17" i="3"/>
  <c r="M16" i="3"/>
  <c r="N16" i="3" s="1"/>
  <c r="L31" i="3" l="1"/>
  <c r="L32" i="3"/>
  <c r="L18" i="3"/>
  <c r="N17" i="3"/>
  <c r="L29" i="3" l="1"/>
  <c r="M31" i="3"/>
  <c r="N31" i="3" s="1"/>
  <c r="M32" i="3"/>
  <c r="N32" i="3" s="1"/>
  <c r="M18" i="3"/>
  <c r="N18" i="3" s="1"/>
  <c r="F9" i="4" l="1"/>
  <c r="L19" i="3"/>
  <c r="M29" i="3"/>
  <c r="N29" i="3" s="1"/>
  <c r="M19" i="3" l="1"/>
  <c r="N19" i="3" s="1"/>
  <c r="G9" i="4"/>
  <c r="L34" i="3"/>
  <c r="L20" i="3" l="1"/>
  <c r="M34" i="3"/>
  <c r="N34" i="3" s="1"/>
  <c r="L15" i="3" l="1"/>
  <c r="M20" i="3"/>
  <c r="L35" i="3"/>
  <c r="F6" i="4" l="1"/>
  <c r="M35" i="3"/>
  <c r="N35" i="3" s="1"/>
  <c r="M15" i="3"/>
  <c r="N15" i="3" s="1"/>
  <c r="N20" i="3"/>
  <c r="L36" i="3" l="1"/>
  <c r="G6" i="4"/>
  <c r="L22" i="3"/>
  <c r="L33" i="3" l="1"/>
  <c r="M36" i="3"/>
  <c r="M22" i="3"/>
  <c r="N22" i="3" s="1"/>
  <c r="F10" i="4" l="1"/>
  <c r="L23" i="3"/>
  <c r="M33" i="3"/>
  <c r="N36" i="3"/>
  <c r="G10" i="4" l="1"/>
  <c r="N33" i="3"/>
  <c r="M23" i="3"/>
  <c r="N23" i="3" s="1"/>
  <c r="L24" i="3" l="1"/>
  <c r="L21" i="3" l="1"/>
  <c r="M24" i="3"/>
  <c r="F7" i="4" l="1"/>
  <c r="M21" i="3"/>
  <c r="N21" i="3" s="1"/>
  <c r="N24" i="3"/>
  <c r="G7" i="4" l="1"/>
  <c r="L26" i="3"/>
  <c r="M26" i="3" l="1"/>
  <c r="N26" i="3" s="1"/>
  <c r="L27" i="3" l="1"/>
  <c r="M27" i="3" l="1"/>
  <c r="N27" i="3" s="1"/>
  <c r="L28" i="3" l="1"/>
  <c r="L25" i="3" l="1"/>
  <c r="M28" i="3"/>
  <c r="F8" i="4" l="1"/>
  <c r="M25" i="3"/>
  <c r="N25" i="3" s="1"/>
  <c r="N28" i="3"/>
  <c r="L38" i="3" l="1"/>
  <c r="G8" i="4"/>
  <c r="M38" i="3" l="1"/>
  <c r="N38" i="3" s="1"/>
  <c r="L39" i="3" l="1"/>
  <c r="M39" i="3" l="1"/>
  <c r="N39" i="3" s="1"/>
  <c r="L40" i="3" l="1"/>
  <c r="L37" i="3" l="1"/>
  <c r="M40" i="3"/>
  <c r="F11" i="4" l="1"/>
  <c r="M37" i="3"/>
  <c r="N37" i="3" s="1"/>
  <c r="N40" i="3"/>
  <c r="G11" i="4" l="1"/>
  <c r="L42" i="3"/>
  <c r="M42" i="3" l="1"/>
  <c r="N42" i="3" s="1"/>
  <c r="L44" i="3" l="1"/>
  <c r="L43" i="3"/>
  <c r="M44" i="3" l="1"/>
  <c r="N44" i="3" s="1"/>
  <c r="M43" i="3"/>
  <c r="N43" i="3" s="1"/>
  <c r="L48" i="3" l="1"/>
  <c r="L45" i="3"/>
  <c r="M48" i="3" l="1"/>
  <c r="L41" i="3"/>
  <c r="M45" i="3"/>
  <c r="M41" i="3" l="1"/>
  <c r="N45" i="3"/>
  <c r="F12" i="4"/>
  <c r="L49" i="3"/>
  <c r="N48" i="3"/>
  <c r="N41" i="3" l="1"/>
  <c r="L47" i="3"/>
  <c r="M47" i="3" s="1"/>
  <c r="N47" i="3" s="1"/>
  <c r="G12" i="4"/>
  <c r="M49" i="3"/>
  <c r="L50" i="3" l="1"/>
  <c r="N49" i="3"/>
  <c r="M50" i="3" l="1"/>
  <c r="N50" i="3" s="1"/>
  <c r="L51" i="3" l="1"/>
  <c r="M51" i="3" l="1"/>
  <c r="N51" i="3" s="1"/>
  <c r="L52" i="3" l="1"/>
  <c r="M52" i="3" l="1"/>
  <c r="N52" i="3" s="1"/>
  <c r="L53" i="3" l="1"/>
  <c r="L46" i="3" l="1"/>
  <c r="M53" i="3"/>
  <c r="F13" i="4" l="1"/>
  <c r="M46" i="3"/>
  <c r="N46" i="3" s="1"/>
  <c r="N53" i="3"/>
  <c r="G13" i="4" l="1"/>
  <c r="L55" i="3"/>
  <c r="M55" i="3" l="1"/>
  <c r="N55" i="3" s="1"/>
  <c r="L56" i="3" l="1"/>
  <c r="L54" i="3" l="1"/>
  <c r="M56" i="3"/>
  <c r="M54" i="3" l="1"/>
  <c r="G14" i="4" s="1"/>
  <c r="N56" i="3"/>
  <c r="F14" i="4"/>
  <c r="N54" i="3" l="1"/>
  <c r="L58" i="3"/>
  <c r="M58" i="3" s="1"/>
  <c r="N58" i="3" s="1"/>
  <c r="L59" i="3" l="1"/>
  <c r="L57" i="3" l="1"/>
  <c r="M59" i="3"/>
  <c r="F15" i="4" l="1"/>
  <c r="M57" i="3"/>
  <c r="N59" i="3"/>
  <c r="G15" i="4" l="1"/>
  <c r="N57" i="3"/>
</calcChain>
</file>

<file path=xl/sharedStrings.xml><?xml version="1.0" encoding="utf-8"?>
<sst xmlns="http://schemas.openxmlformats.org/spreadsheetml/2006/main" count="2225" uniqueCount="959">
  <si>
    <t>HSBC  |  AI DELIVERY CONTROL TOWER</t>
  </si>
  <si>
    <t>PROJECT START</t>
  </si>
  <si>
    <t>HARD DEADLINE</t>
  </si>
  <si>
    <t>NOV 2026</t>
  </si>
  <si>
    <t>CORE TEAM</t>
  </si>
  <si>
    <t>3</t>
  </si>
  <si>
    <t>PLANNED PEAK TEAM</t>
  </si>
  <si>
    <t>5</t>
  </si>
  <si>
    <t>Overall Health
AMBER</t>
  </si>
  <si>
    <t>Critical Path
TBD</t>
  </si>
  <si>
    <t>Open External Dependencies
10</t>
  </si>
  <si>
    <t>SME Risk
HIGH</t>
  </si>
  <si>
    <t>DELIVERY PRINCIPLE</t>
  </si>
  <si>
    <t>You are accountable for end-to-end delivery: schedule, quality, technical outcome, stakeholder alignment and recovery. The team cannot use 'code not working' as a delivery escape. Technical issues are delivery issues requiring ownership, recovery and escalation.</t>
  </si>
  <si>
    <t>TOP DELIVERY CONTROLS</t>
  </si>
  <si>
    <t>1. Every milestone has one accountable owner and explicit exit criteria.</t>
  </si>
  <si>
    <t>2. External dependencies are registered from Day 1 with owner, required-by date, trigger and fallback/recovery action.</t>
  </si>
  <si>
    <t>3. SME availability is a planned dependency; validation cannot be scheduled on an assumed 'TBD' slot.</t>
  </si>
  <si>
    <t>4. Platform/API/server failures are tracked as delivery dependencies/issues with contingency paths and recovery SLA.</t>
  </si>
  <si>
    <t>5. October capacity reduction for Durga Puja and November Diwali capacity reduction are explicitly planned into the schedule.</t>
  </si>
  <si>
    <t>6. Monitoring team owns operational monitoring; IT owns monitoring dashboard build. Delivery team supports both.</t>
  </si>
  <si>
    <t>7. IT owns deployment/go-live. Delivery team provides support/back-up only; deployment is not a Delivery Lead-owned implementation activity.</t>
  </si>
  <si>
    <t>KEY MILESTONES</t>
  </si>
  <si>
    <t>Gate</t>
  </si>
  <si>
    <t>Milestone</t>
  </si>
  <si>
    <t>Target Window</t>
  </si>
  <si>
    <t>Accountable Owner</t>
  </si>
  <si>
    <t>Dependency</t>
  </si>
  <si>
    <t>Critical?</t>
  </si>
  <si>
    <t>Exit Criteria</t>
  </si>
  <si>
    <t>Status</t>
  </si>
  <si>
    <t>M1</t>
  </si>
  <si>
    <t>Scope &amp; Delivery Baseline</t>
  </si>
  <si>
    <t>17–21 Aug</t>
  </si>
  <si>
    <t>Delivery Lead</t>
  </si>
  <si>
    <t>Business scope / R&amp;C validation</t>
  </si>
  <si>
    <t>Yes</t>
  </si>
  <si>
    <t>Scope, assumptions, plan and governance route agreed</t>
  </si>
  <si>
    <t>Not Started</t>
  </si>
  <si>
    <t>M2</t>
  </si>
  <si>
    <t>Data Readiness</t>
  </si>
  <si>
    <t>24 Aug–4 Sep</t>
  </si>
  <si>
    <t>Senior Data Scientist</t>
  </si>
  <si>
    <t>REGMAP/Helios access; data availability</t>
  </si>
  <si>
    <t>Coverage, field and quality assessment complete; gaps owned</t>
  </si>
  <si>
    <t>M3</t>
  </si>
  <si>
    <t>Linkage Solution Build</t>
  </si>
  <si>
    <t>31 Aug–25 Sep</t>
  </si>
  <si>
    <t>Russel – Senior AI Developer</t>
  </si>
  <si>
    <t>M2; historical linked dataset</t>
  </si>
  <si>
    <t>Candidate methods/prompt/retrieval approaches ready</t>
  </si>
  <si>
    <t>M4</t>
  </si>
  <si>
    <t>Linkage Evaluation &amp; Selection</t>
  </si>
  <si>
    <t>21 Sep–2 Oct</t>
  </si>
  <si>
    <t>Delivery Lead + Russel</t>
  </si>
  <si>
    <t>Golden/evaluation dataset; agreed methodology</t>
  </si>
  <si>
    <t>Baseline, evaluation, benchmark and method decision complete</t>
  </si>
  <si>
    <t>M5</t>
  </si>
  <si>
    <t>Linkage SME Validation</t>
  </si>
  <si>
    <t>5–9 Oct</t>
  </si>
  <si>
    <t>SME availability</t>
  </si>
  <si>
    <t>SME validation complete or formal exception/escalation recorded</t>
  </si>
  <si>
    <t>M6</t>
  </si>
  <si>
    <t>Impact Assessment Build</t>
  </si>
  <si>
    <t>Additional AI Developer*</t>
  </si>
  <si>
    <t>M2; SME input</t>
  </si>
  <si>
    <t>Candidate solution ready for validation</t>
  </si>
  <si>
    <t>M7</t>
  </si>
  <si>
    <t>Impact Assessment SME Validation</t>
  </si>
  <si>
    <t>M8</t>
  </si>
  <si>
    <t>Production Readiness</t>
  </si>
  <si>
    <t>12–23 Oct</t>
  </si>
  <si>
    <t>Russel + AI Developers</t>
  </si>
  <si>
    <t>M5/M7; code/documentation/KT</t>
  </si>
  <si>
    <t>Code modularised, documented, tested and KT-ready</t>
  </si>
  <si>
    <t>M9</t>
  </si>
  <si>
    <t>Monitoring Readiness</t>
  </si>
  <si>
    <t>12–30 Oct</t>
  </si>
  <si>
    <t>Monitoring Team + IT</t>
  </si>
  <si>
    <t>Monitoring team capacity; IT dashboard</t>
  </si>
  <si>
    <t>Monitoring process ready; IT dashboard available/accepted</t>
  </si>
  <si>
    <t>M10</t>
  </si>
  <si>
    <t>Governance Approval Gate</t>
  </si>
  <si>
    <t>Delivery Lead + Sponsor</t>
  </si>
  <si>
    <t>Governance reviewers / documentation</t>
  </si>
  <si>
    <t>Required governance documents/approvals complete</t>
  </si>
  <si>
    <t>M11</t>
  </si>
  <si>
    <t>Deployment Readiness</t>
  </si>
  <si>
    <t>2–13 Nov</t>
  </si>
  <si>
    <t>IT (Delivery support)</t>
  </si>
  <si>
    <t>M8/M9/M10</t>
  </si>
  <si>
    <t>IT confirms deployment readiness</t>
  </si>
  <si>
    <t>M12</t>
  </si>
  <si>
    <t>Go-Live</t>
  </si>
  <si>
    <t>Nov 2026</t>
  </si>
  <si>
    <t>IT GHeadache; Delivery Support</t>
  </si>
  <si>
    <t>IT deploys; Delivery validates/supports post-go-live</t>
  </si>
  <si>
    <t>DEADLINE CONTROL</t>
  </si>
  <si>
    <t>Hard deadline is Nov-2026. Exact day is currently an UNCONFIRMED constraint. Until the contractual/management date is confirmed, the plan uses 13-Nov for operational go-live planning and 20-Nov for post-go-live validation, with recovery capacity reserved.</t>
  </si>
  <si>
    <t>DELIVERY PLAN VIEW</t>
  </si>
  <si>
    <t>Use 'Delivery Plan' as the SINGLE SOURCE OF TRUTH. Milestones and activities are on the same sheet. Use the +/- outline controls to collapse all activities for the milestone view or expand only the milestone(s) you are actively managing. Use 'How to Operate' for the operating procedure.</t>
  </si>
  <si>
    <t>SCHEDULE CONTROL</t>
  </si>
  <si>
    <t>Delivery Plan now contains Planned, Actual and Forecast dates plus formula-driven working days and predecessor logic. Management Gantt shows milestone-level Planned vs Forecast vs Actual.</t>
  </si>
  <si>
    <t>M1 / SCOPING STATUS</t>
  </si>
  <si>
    <t>Scoping is already in progress from 05-Aug-2026 (Delivery Lead + Russel). Management Gantt therefore starts on 05-Aug; the formal remaining project delivery baseline remains controlled through the Delivery Plan.</t>
  </si>
  <si>
    <t>HSBC  |  HOW TO OPERATE THIS DELIVERY CONTROL PLAN</t>
  </si>
  <si>
    <t>1. PURPOSE OF THIS WORKBOOK</t>
  </si>
  <si>
    <t>• This workbook is the project control system, not just a task tracker. It is designed to help the Delivery Lead control scope, schedule, quality, resources, dependencies, governance, risks and delivery outcome.</t>
  </si>
  <si>
    <t>• The 'Delivery Plan' tab is the SINGLE SOURCE OF TRUTH for milestone and activity-level delivery planning. Do not maintain a second copy of the delivery schedule elsewhere.</t>
  </si>
  <si>
    <t>• The other tabs are control registers that support the Delivery Plan: Executive Dashboard, Resource &amp; Capacity, External Dependency Register, RAID Log, Governance Tracker, Monitoring &amp; Handover, Assumptions &amp; Calendar, RACI, Critical Path and Management Resource Ask.</t>
  </si>
  <si>
    <t>2. THE DELIVERY PLAN — HOW TO READ IT</t>
  </si>
  <si>
    <t>• The Delivery Plan has two levels in ONE sheet: MILESTONE rows (M1–M12) and ACTIVITY rows (e.g., M1.1, M1.2, M1.3).</t>
  </si>
  <si>
    <t>• By default, activities are collapsed. This gives you the 12-milestone management view.</t>
  </si>
  <si>
    <t>• Use Excel's outline +/- controls on the LEFT side of the sheet to expand or contract the activity rows under each milestone.</t>
  </si>
  <si>
    <t>• Expand only the milestone you are actively managing. Example: expand M5 during SME validation week; contract M5 again for the management view.</t>
  </si>
  <si>
    <t>• Do NOT create separate milestone and activity copies. The hierarchy is intentionally designed so one sheet serves both management and execution.</t>
  </si>
  <si>
    <t>3. DAILY OPERATING MODEL FOR THE DELIVERY LEAD</t>
  </si>
  <si>
    <t>Start of day</t>
  </si>
  <si>
    <t>Open Delivery Plan and look at milestone status, Critical Path? and External Dependency? fields.</t>
  </si>
  <si>
    <t>Then</t>
  </si>
  <si>
    <t>Expand the milestones that are active in the current 1–2 week window and review their activities.</t>
  </si>
  <si>
    <t>Control</t>
  </si>
  <si>
    <t>Check every activity that is due soon: owner, dependency, status, exit criteria and recovery action.</t>
  </si>
  <si>
    <t>External check</t>
  </si>
  <si>
    <t>Open External Dependency Register and verify every dependency due within the next 2 weeks has an owner and a credible fallback.</t>
  </si>
  <si>
    <t>RAID check</t>
  </si>
  <si>
    <t>Review RAID Log for new risks/issues and confirm every High/Critical item has an owner and action.</t>
  </si>
  <si>
    <t>Capacity check</t>
  </si>
  <si>
    <t>Review Resource &amp; Capacity, especially around October Durga Puja and November Diwali availability.</t>
  </si>
  <si>
    <t>End of day</t>
  </si>
  <si>
    <t>Update status and comments only where something materially changed; do not turn the plan into a diary.</t>
  </si>
  <si>
    <t>4. WEEKLY DELIVERY CONTROL — YOUR CORE REVIEW</t>
  </si>
  <si>
    <t>• 1) Milestones: What moved this week vs plan? What did not?</t>
  </si>
  <si>
    <t>• 2) Critical path: Has any critical milestone moved to Amber/Red or lost recovery buffer?</t>
  </si>
  <si>
    <t>• 3) Dependencies: Which external dependency can derail the next 1–2 weeks?</t>
  </si>
  <si>
    <t>• 4) Resources: Is the team size/capacity still sufficient? Are SME, Monitoring Team or IT resources actually committed?</t>
  </si>
  <si>
    <t>• 5) Quality: Are deliverables meeting their exit criteria, or are we declaring activities 'done' without evidence?</t>
  </si>
  <si>
    <t>• 6) Governance: Are documents and approvals progressing in parallel, or becoming end-loaded?</t>
  </si>
  <si>
    <t>• 7) Recovery: For every Amber/Red item, what is the recovery action, owner and date?</t>
  </si>
  <si>
    <t>5. HOW TO UPDATE STATUS</t>
  </si>
  <si>
    <t>• Not Started = work has not begun.</t>
  </si>
  <si>
    <t>• Green = progressing to plan and exit criteria remain achievable within the planned date.</t>
  </si>
  <si>
    <t>• Amber = a threat exists to scope/date/quality, but recovery is credible and actively owned.</t>
  </si>
  <si>
    <t>• Red = milestone/date/quality is materially threatened, blocked or already missed; management action/escalation is required.</t>
  </si>
  <si>
    <t>• Blocked = work cannot proceed because a dependency or issue is preventing execution.</t>
  </si>
  <si>
    <t>• Complete = exit criteria are satisfied with evidence. Do not mark Complete merely because the activity was attempted.</t>
  </si>
  <si>
    <t>6. EXTERNAL DEPENDENCY CONTROL — NON-NEGOTIABLE</t>
  </si>
  <si>
    <t>• Every material external dependency must be registered BEFORE it becomes a problem.</t>
  </si>
  <si>
    <t>• Minimum fields: dependency owner, required-by date, failure trigger, impact, preventive control, fallback/recovery action and escalation point.</t>
  </si>
  <si>
    <t>• Examples: SME availability, REGMAP/Helios data, historical linked-alert data, AI platform, API/quota, server/compute, Monitoring Team, IT dashboard, governance reviewers, Model Sponsor and IT deployment.</t>
  </si>
  <si>
    <t>• If the dependency has no named owner, treat it as an unresolved delivery risk — not as an invisible assumption.</t>
  </si>
  <si>
    <t>• If the required-by date is approaching and the dependency is not confirmed, move the related activity to Amber and trigger the recovery/escalation path.</t>
  </si>
  <si>
    <t>7. SME AVAILABILITY CONTROL</t>
  </si>
  <si>
    <t>• SME validation is a schedule dependency, not an informal request for help.</t>
  </si>
  <si>
    <t>• Book M5 and M7 validation slots from the beginning of the project; identify a backup SME/delegate.</t>
  </si>
  <si>
    <t>• If the SME does not attend or no SME is provided, do NOT silently move the milestone. Record the dependency failure, assess critical-path impact, escalate and invoke the documented fallback.</t>
  </si>
  <si>
    <t>• A validation milestone is complete only when SME validation/sign-off is completed OR a formally approved exception/decision is recorded.</t>
  </si>
  <si>
    <t>8. PLATFORM / API / SERVER FAILURE CONTROL</t>
  </si>
  <si>
    <t>• Platform/API/server availability is treated as an external delivery dependency.</t>
  </si>
  <si>
    <t>• The team should maintain test artefacts/cached test cases and use approved alternate compute/model/API options where permitted.</t>
  </si>
  <si>
    <t>• When an outage occurs: log the issue → quantify schedule impact → invoke fallback → re-sequence non-dependent work → escalate if the recovery threshold is exceeded.</t>
  </si>
  <si>
    <t>• Do not hide infrastructure outages inside a generic 'development delay'. The failure and its delivery impact must be visible.</t>
  </si>
  <si>
    <t>9. GOVERNANCE OPERATING MODEL</t>
  </si>
  <si>
    <t>• Governance documentation is created progressively, not at the end.</t>
  </si>
  <si>
    <t>• Track ASDA, Monitoring documentation, MDT, ToR, QMIO, AIRCO and IMR as explicit activities in the Governance Tracker.</t>
  </si>
  <si>
    <t>• AIRCO requires additional Delivery Lead effort: prepare the document/evidence pack, arrange the Model Sponsor walkthrough, spoon-feed the sponsor through responsibilities/evidence, and track open actions to closure.</t>
  </si>
  <si>
    <t>• If a governance reviewer is unavailable, record the dependency and escalate rather than allowing an invisible date slip.</t>
  </si>
  <si>
    <t>10. MONITORING AND DEPLOYMENT BOUNDARIES</t>
  </si>
  <si>
    <t>• Monitoring Team owns operational monitoring/KPI execution. Your team supports with solution context, KPI definition and handover.</t>
  </si>
  <si>
    <t>• IT owns the monitoring dashboard build. Your team provides requirements and validates the dashboard.</t>
  </si>
  <si>
    <t>• IT owns deployment and Go-Live. Your team remains available for technical/business support and back-up, but deployment execution is not your team's responsibility.</t>
  </si>
  <si>
    <t>• This boundary is reflected in the RACI. Do not allow ownership to drift during execution.</t>
  </si>
  <si>
    <t>11. RESOURCE &amp; CAPACITY CONTROL</t>
  </si>
  <si>
    <t>• Core confirmed team: Delivery Lead + Russel (Senior AI Developer) + Junior Data Scientist/AI Developer.</t>
  </si>
  <si>
    <t>• The plan recommends additional Data Scientist/AI Developer capacity because two AI solution tracks must progress in parallel and Russel is otherwise a technical single point of failure.</t>
  </si>
  <si>
    <t>• October capacity must reflect Durga Puja leave for Kolkata-based team members. Confirm exact leave dates and update Resource &amp; Capacity.</t>
  </si>
  <si>
    <t>• November must reflect Diwali availability risk. Confirm the support rota before deployment/go-live.</t>
  </si>
  <si>
    <t>• Do not solve a resource shortfall by quietly extending the deadline — the deadline is a hard constraint.</t>
  </si>
  <si>
    <t>12. RACI — HOW TO USE IT</t>
  </si>
  <si>
    <t>• R = Responsible: executes the work. A = Accountable: owns the outcome. C = Consulted: provides input. I = Informed: needs visibility.</t>
  </si>
  <si>
    <t>• Apply the rule: ONE accountable owner per deliverable. Do not create multiple 'A' owners for the same outcome.</t>
  </si>
  <si>
    <t>• Your overall role is Delivery Lead / Delivery Owner. You are accountable for the project's delivery outcome, but external execution ownership remains with IT/Monitoring where explicitly assigned.</t>
  </si>
  <si>
    <t>13. CRITICAL PATH — HOW TO USE IT</t>
  </si>
  <si>
    <t>• Review the Critical Path at least weekly and before every management status update.</t>
  </si>
  <si>
    <t>• If a critical-path milestone slips, immediately determine whether there is remaining schedule float, then define a recovery action and owner.</t>
  </si>
  <si>
    <t>• Do not wait for the milestone date to be missed before escalating. Escalate when the remaining recovery buffer becomes insufficient.</t>
  </si>
  <si>
    <t>14. MANAGEMENT RESOURCE ASK</t>
  </si>
  <si>
    <t>• Use the Management Resource Ask tab when requesting additional team members.</t>
  </si>
  <si>
    <t>• The argument is based on delivery capacity and risk: parallel Linkage + Impact Assessment work, technical bottleneck, hard Nov deadline, October/November capacity loss and external dependency uncertainty.</t>
  </si>
  <si>
    <t>• Recommended position: 5-person peak delivery capacity; 4 people is the minimum acceptable position if Management will not approve 2 additional resources.</t>
  </si>
  <si>
    <t>15. WHAT 'DONE' MEANS</t>
  </si>
  <si>
    <t>• An activity is not Done because someone says it is done. Its exit/acceptance criteria must be satisfied.</t>
  </si>
  <si>
    <t>• A milestone is not Done until its required activities and gate evidence are complete, dependencies resolved/accepted, and the milestone exit criteria are met.</t>
  </si>
  <si>
    <t>• A Red/Blocked item cannot be hidden by marking downstream work Complete.</t>
  </si>
  <si>
    <t>• The Delivery Lead should be able to answer at any time: Where are we? Where should we be? What is blocking us? What happens next? Who owns it? By when?</t>
  </si>
  <si>
    <t>16. LIVE SCHEDULE CONTROL — PLANNED vs ACTUAL vs FORECAST</t>
  </si>
  <si>
    <t>• Planned Start/End are the approved baseline; preserve them so variance remains visible.</t>
  </si>
  <si>
    <t>• Actual Start/End are manually entered facts when work actually starts/finishes.</t>
  </si>
  <si>
    <t>• Planned Working Days and Actual Working Days are formula-driven using Schedule Calendar.</t>
  </si>
  <si>
    <t>• Forecast Start/End are the current delivery expectation; a delayed predecessor pushes downstream forecast dates.</t>
  </si>
  <si>
    <t>• Milestone Planned dates are calculated from child activities; milestone Actual/Forecast dates roll up from child dates.</t>
  </si>
  <si>
    <t>• Use Predecessor(s) to explicitly connect sequencing. Do not hide dependencies in comments.</t>
  </si>
  <si>
    <t>• Do not overwrite baseline Planned dates to hide slippage; re-baseline only with explicit management decision.</t>
  </si>
  <si>
    <t>17. WHEN SOMETHING SLIPS</t>
  </si>
  <si>
    <t>• Record the issue/event; enter Actual dates when known and update Status/Risk.</t>
  </si>
  <si>
    <t>• Review Forecast dates for the affected activity and downstream dependencies.</t>
  </si>
  <si>
    <t>• Check whether the milestone forecast moved beyond its planned end.</t>
  </si>
  <si>
    <t>• If Critical Path = Yes, define recovery and escalate before the hard deadline is threatened.</t>
  </si>
  <si>
    <t>• Record the blocker in External Dependency Register or RAID Log.</t>
  </si>
  <si>
    <t>18. MANAGEMENT GANTT</t>
  </si>
  <si>
    <t>• Use Management Gantt for weekly management/SteerCo discussion.</t>
  </si>
  <si>
    <t>• Blue = Planned baseline; pale red = current Forecast; HSBC red = Actual.</t>
  </si>
  <si>
    <t>• Use Delivery Plan for drill-down and task-level control.</t>
  </si>
  <si>
    <t>• Predecessor(s) must contain milestone/activity IDs (e.g., M2.1, M2.2, M4). If a predecessor finishes late, the dependent activity's Forecast Start automatically moves to the next working day after the latest predecessor forecast end.</t>
  </si>
  <si>
    <t>19. MILESTONE DATE ROLL-UP RULE</t>
  </si>
  <si>
    <t>• Planned Start for a milestone = MINIMUM Planned Start of all its child activities.</t>
  </si>
  <si>
    <t>• Planned End for a milestone = MAXIMUM Planned End of all its child activities.</t>
  </si>
  <si>
    <t>• If all child dates are blank, the milestone remains blank — never 00-Jan-1900.</t>
  </si>
  <si>
    <t>• The Management Gantt begins on 05-Aug-2026 because M1 scoping is already in progress. The remaining delivery baseline can still be controlled from the formal project start of 17-Aug-2026.</t>
  </si>
  <si>
    <t>HSBC  |  DELIVERY PLAN — LIVE SCHEDULE CONTROL</t>
  </si>
  <si>
    <t>ID</t>
  </si>
  <si>
    <t>Workstream</t>
  </si>
  <si>
    <t>Milestone / Activity</t>
  </si>
  <si>
    <t>Predecessor(s)</t>
  </si>
  <si>
    <t>Planned Start</t>
  </si>
  <si>
    <t>Planned End</t>
  </si>
  <si>
    <t>Planned Working Days</t>
  </si>
  <si>
    <t>Actual Start</t>
  </si>
  <si>
    <t>Actual End</t>
  </si>
  <si>
    <t>Actual Working Days</t>
  </si>
  <si>
    <t>Forecast Start</t>
  </si>
  <si>
    <t>Forecast End</t>
  </si>
  <si>
    <t>Forecast Working Days</t>
  </si>
  <si>
    <t>Exit / Acceptance Criteria</t>
  </si>
  <si>
    <t>Critical Path?</t>
  </si>
  <si>
    <t>External Dependency?</t>
  </si>
  <si>
    <t>Contingency / Recovery Action</t>
  </si>
  <si>
    <t>Leave / Capacity Impact</t>
  </si>
  <si>
    <t>Risk / Issue</t>
  </si>
  <si>
    <t>Comments</t>
  </si>
  <si>
    <t>Scope</t>
  </si>
  <si>
    <t>Milestone exit criteria defined in the operating model</t>
  </si>
  <si>
    <t>Green</t>
  </si>
  <si>
    <t>See External Dependency Register / RAID Log</t>
  </si>
  <si>
    <t>October Durga Puja + November Diwali capacity impact</t>
  </si>
  <si>
    <t>Scoping document currently in progress; Delivery Lead + Russel are drafting.</t>
  </si>
  <si>
    <t>Gantt starts 05-Aug-2026 to reflect work already underway.</t>
  </si>
  <si>
    <t>M1.1</t>
  </si>
  <si>
    <t>Scope document sign-off</t>
  </si>
  <si>
    <t>19-Aug-26</t>
  </si>
  <si>
    <t>Scope and objectives approved</t>
  </si>
  <si>
    <t>Escalate same day if required stakeholder unavailable; document decision/assumption and protect baseline.</t>
  </si>
  <si>
    <t>None</t>
  </si>
  <si>
    <t>M1.2</t>
  </si>
  <si>
    <t>R&amp;C Impact Assessment outcome validation</t>
  </si>
  <si>
    <t>21-Aug-26</t>
  </si>
  <si>
    <t>Outcome validated and open questions assigned</t>
  </si>
  <si>
    <t>Pre-book stakeholder session; nominate delegate if primary unavailable.</t>
  </si>
  <si>
    <t>M1.3</t>
  </si>
  <si>
    <t>Delivery baseline, RAID and dependency register</t>
  </si>
  <si>
    <t>M1.1, M1.2</t>
  </si>
  <si>
    <t>Integrated plan, RAID and dependency controls live</t>
  </si>
  <si>
    <t>No</t>
  </si>
  <si>
    <t>N/A</t>
  </si>
  <si>
    <t>EDA</t>
  </si>
  <si>
    <t>M2.1</t>
  </si>
  <si>
    <t>REGMAP EDA</t>
  </si>
  <si>
    <t>Senior Data Scientist / Junior Data Scientist</t>
  </si>
  <si>
    <t>24-Aug-26</t>
  </si>
  <si>
    <t>28-Aug-26</t>
  </si>
  <si>
    <t>EDA complete; usable population quantified</t>
  </si>
  <si>
    <t>Escalate access; use approved alternative extract if available; re-sequence non-dependent work.</t>
  </si>
  <si>
    <t>M2.2</t>
  </si>
  <si>
    <t>Helios EDA</t>
  </si>
  <si>
    <t>Same as M2.1.</t>
  </si>
  <si>
    <t>M2.3</t>
  </si>
  <si>
    <t>Data coverage assessment</t>
  </si>
  <si>
    <t>Junior Data Scientist</t>
  </si>
  <si>
    <t>M2.1, M2.2</t>
  </si>
  <si>
    <t>31-Aug-26</t>
  </si>
  <si>
    <t>1-Sep-26</t>
  </si>
  <si>
    <t>Coverage and missingness quantified</t>
  </si>
  <si>
    <t>Use available extracts; clearly flag coverage gaps.</t>
  </si>
  <si>
    <t>M2.4</t>
  </si>
  <si>
    <t>Data field validation</t>
  </si>
  <si>
    <t>2-Sep-26</t>
  </si>
  <si>
    <t>Required fields validated</t>
  </si>
  <si>
    <t>Prioritise critical fields; raise gap decisions immediately.</t>
  </si>
  <si>
    <t>M2.5</t>
  </si>
  <si>
    <t>Data quality assessment</t>
  </si>
  <si>
    <t>4-Sep-26</t>
  </si>
  <si>
    <t>Quality issues quantified and owners assigned</t>
  </si>
  <si>
    <t>Create data-quality exception list; do not silently proceed.</t>
  </si>
  <si>
    <t>M2.6</t>
  </si>
  <si>
    <t>Historical linked-alert / labelled dataset readiness</t>
  </si>
  <si>
    <t>Delivery Lead + Senior Data Scientist</t>
  </si>
  <si>
    <t>Sufficient historical linked examples available or explicit limitation accepted</t>
  </si>
  <si>
    <t>Escalate as Day-1 critical dependency; if unavailable, formally document inability to establish credible baseline/evaluation and re-plan decision.</t>
  </si>
  <si>
    <t>Linkage</t>
  </si>
  <si>
    <t>M3.1</t>
  </si>
  <si>
    <t>Embedding solution development</t>
  </si>
  <si>
    <t>11-Sep-26</t>
  </si>
  <si>
    <t>Candidate embedding approaches implemented</t>
  </si>
  <si>
    <t>Use alternative approved approach if platform/API unavailable; maintain experiment log.</t>
  </si>
  <si>
    <t>M3.2</t>
  </si>
  <si>
    <t>Model training / candidate modelling</t>
  </si>
  <si>
    <t>Russel + AI Developer*</t>
  </si>
  <si>
    <t>7-Sep-26</t>
  </si>
  <si>
    <t>18-Sep-26</t>
  </si>
  <si>
    <t>Candidate models trained and reproducible</t>
  </si>
  <si>
    <t>Use approved alternate compute environment; queue jobs; escalate capacity outage.</t>
  </si>
  <si>
    <t>M3.3</t>
  </si>
  <si>
    <t>GenAI solution development</t>
  </si>
  <si>
    <t>Candidate GenAI approach operational in test environment</t>
  </si>
  <si>
    <t>Maintain fallback model/API where approved; if service outage &gt; agreed threshold, switch to offline testing/review.</t>
  </si>
  <si>
    <t>M3.4</t>
  </si>
  <si>
    <t>Prompt engineering</t>
  </si>
  <si>
    <t>AI Developer* + Russel</t>
  </si>
  <si>
    <t>10-Sep-26</t>
  </si>
  <si>
    <t>Prompt iterations documented with test results</t>
  </si>
  <si>
    <t>Continue prompt design using cached/test data if live API unavailable.</t>
  </si>
  <si>
    <t>M3.5</t>
  </si>
  <si>
    <t>Retrieval tuning</t>
  </si>
  <si>
    <t>14-Sep-26</t>
  </si>
  <si>
    <t>25-Sep-26</t>
  </si>
  <si>
    <t>Retrieval configuration tuned and evaluated</t>
  </si>
  <si>
    <t>Use offline/indexed test set; restore/rebuild index if service fails.</t>
  </si>
  <si>
    <t>Evaluation &amp; Method Selection</t>
  </si>
  <si>
    <t>M4.1</t>
  </si>
  <si>
    <t>Evaluation of multiple methods</t>
  </si>
  <si>
    <t>21-Sep-26</t>
  </si>
  <si>
    <t>29-Sep-26</t>
  </si>
  <si>
    <t>All candidate methods evaluated against agreed methodology</t>
  </si>
  <si>
    <t>If dataset/SME unavailable, escalate as decision blocker; no unsupported claim of performance.</t>
  </si>
  <si>
    <t>M4.2</t>
  </si>
  <si>
    <t>Cross-method benchmarking</t>
  </si>
  <si>
    <t>28-Sep-26</t>
  </si>
  <si>
    <t>1-Oct-26</t>
  </si>
  <si>
    <t>Comparative benchmark completed</t>
  </si>
  <si>
    <t>Use fixed evaluation set and documented metrics.</t>
  </si>
  <si>
    <t>M4.3</t>
  </si>
  <si>
    <t>Final method selection</t>
  </si>
  <si>
    <t>M4.1, M4.2</t>
  </si>
  <si>
    <t>2-Oct-26</t>
  </si>
  <si>
    <t>Decision documented with evidence and trade-offs</t>
  </si>
  <si>
    <t>Escalate decision if evidence is insufficient; do not select based on preference.</t>
  </si>
  <si>
    <t>SME Validation / Sign-off</t>
  </si>
  <si>
    <t>M5.1</t>
  </si>
  <si>
    <t>SME validation session</t>
  </si>
  <si>
    <t>5-Oct-26</t>
  </si>
  <si>
    <t>6-Oct-26</t>
  </si>
  <si>
    <t>SME review completed and findings logged</t>
  </si>
  <si>
    <t>SME slot pre-booked from Aug; named backup SME/delegate; escalate no-show immediately.</t>
  </si>
  <si>
    <t>Durga Puja leave window begins mid-Oct</t>
  </si>
  <si>
    <t>M5.2</t>
  </si>
  <si>
    <t>SME findings remediation</t>
  </si>
  <si>
    <t>8-Oct-26</t>
  </si>
  <si>
    <t>Material findings addressed or formally accepted</t>
  </si>
  <si>
    <t>Reserve remediation capacity before Puja; unresolved findings escalated to sponsor.</t>
  </si>
  <si>
    <t>Durga Puja leave window</t>
  </si>
  <si>
    <t>M5.3</t>
  </si>
  <si>
    <t>Final SME sign-off / exception record</t>
  </si>
  <si>
    <t>9-Oct-26</t>
  </si>
  <si>
    <t>Signed validation or documented exception with decision owner</t>
  </si>
  <si>
    <t>Delegate approval or sponsor escalation; no silent carry-over.</t>
  </si>
  <si>
    <t>Impact Assessment</t>
  </si>
  <si>
    <t>M6.1</t>
  </si>
  <si>
    <t>Candidate solution ready</t>
  </si>
  <si>
    <t>Fallback approved environment / offline testing during outage.</t>
  </si>
  <si>
    <t>M6.2</t>
  </si>
  <si>
    <t>AI Developer*</t>
  </si>
  <si>
    <t>Prompt iterations documented</t>
  </si>
  <si>
    <t>Use cached test cases if API unavailable.</t>
  </si>
  <si>
    <t>M6.3</t>
  </si>
  <si>
    <t>Retrieval tuned and tested</t>
  </si>
  <si>
    <t>Offline/index rebuild fallback.</t>
  </si>
  <si>
    <t>M7.1</t>
  </si>
  <si>
    <t>SME validation</t>
  </si>
  <si>
    <t>SME validation completed</t>
  </si>
  <si>
    <t>Pre-booked slot + backup SME + sponsor escalation.</t>
  </si>
  <si>
    <t>M7.2</t>
  </si>
  <si>
    <t>Remediation</t>
  </si>
  <si>
    <t>Material findings addressed / accepted</t>
  </si>
  <si>
    <t>Protect capacity before Puja.</t>
  </si>
  <si>
    <t>M7.3</t>
  </si>
  <si>
    <t>Documentation and final sign-off</t>
  </si>
  <si>
    <t>Validation evidence and sign-off complete</t>
  </si>
  <si>
    <t>Sponsor escalation for unresolved sign-off.</t>
  </si>
  <si>
    <t>Productionization</t>
  </si>
  <si>
    <t>M8.1</t>
  </si>
  <si>
    <t>Code modularization</t>
  </si>
  <si>
    <t>M5, M7</t>
  </si>
  <si>
    <t>12-Oct-26</t>
  </si>
  <si>
    <t>20-Oct-26</t>
  </si>
  <si>
    <t>Modular, maintainable code baseline complete</t>
  </si>
  <si>
    <t>Prioritise critical modules; protect post-Puja catch-up capacity.</t>
  </si>
  <si>
    <t>Durga Puja / reduced Kolkata capacity</t>
  </si>
  <si>
    <t>M8.2</t>
  </si>
  <si>
    <t>Code documentation</t>
  </si>
  <si>
    <t>Junior Data Scientist + AI Developers</t>
  </si>
  <si>
    <t>21-Oct-26</t>
  </si>
  <si>
    <t>Technical documentation complete and current</t>
  </si>
  <si>
    <t>Documentation starts during development; do not defer all documentation to end.</t>
  </si>
  <si>
    <t>M8.3</t>
  </si>
  <si>
    <t>Code KT to Tech team</t>
  </si>
  <si>
    <t>Russel + Delivery Lead</t>
  </si>
  <si>
    <t>M8.1, M8.2</t>
  </si>
  <si>
    <t>23-Oct-26</t>
  </si>
  <si>
    <t>KT completed; open technical questions logged</t>
  </si>
  <si>
    <t>Pre-book Tech slots; provide recorded walkthrough if attendance fails.</t>
  </si>
  <si>
    <t>Post-Puja capacity recovery</t>
  </si>
  <si>
    <t>Monitoring</t>
  </si>
  <si>
    <t>M9.1</t>
  </si>
  <si>
    <t>Monitoring requirements / KPI definition</t>
  </si>
  <si>
    <t>Delivery Lead + Monitoring Team</t>
  </si>
  <si>
    <t>16-Oct-26</t>
  </si>
  <si>
    <t>KPIs, thresholds, ownership and escalation path agreed</t>
  </si>
  <si>
    <t>Secure Monitoring Team commitment in Aug; named backup; escalate capacity gap.</t>
  </si>
  <si>
    <t>Durga Puja capacity impact</t>
  </si>
  <si>
    <t>M9.2</t>
  </si>
  <si>
    <t>Monitoring document</t>
  </si>
  <si>
    <t>15-Oct-26</t>
  </si>
  <si>
    <t>Monitoring document approved</t>
  </si>
  <si>
    <t>Draft in parallel with KPI definition.</t>
  </si>
  <si>
    <t>M9.3</t>
  </si>
  <si>
    <t>Monitoring dashboard build</t>
  </si>
  <si>
    <t>IT</t>
  </si>
  <si>
    <t>30-Oct-26</t>
  </si>
  <si>
    <t>IT dashboard available and validated</t>
  </si>
  <si>
    <t>Escalate IT capacity; agree interim manual monitoring if dashboard delayed.</t>
  </si>
  <si>
    <t>M9.4</t>
  </si>
  <si>
    <t>Monitoring team handover / support</t>
  </si>
  <si>
    <t>Delivery Team + Monitoring Team</t>
  </si>
  <si>
    <t>M9.2, M9.3</t>
  </si>
  <si>
    <t>26-Oct-26</t>
  </si>
  <si>
    <t>Monitoring team accepts operational responsibility; Delivery remains support</t>
  </si>
  <si>
    <t>Named operational owner and backup confirmed.</t>
  </si>
  <si>
    <t>Post-Puja</t>
  </si>
  <si>
    <t>Governance</t>
  </si>
  <si>
    <t>M10.1</t>
  </si>
  <si>
    <t>ASDA documentation</t>
  </si>
  <si>
    <t>Delivery Lead + relevant owners</t>
  </si>
  <si>
    <t>19-Oct-26</t>
  </si>
  <si>
    <t>ASDA document complete/submitted</t>
  </si>
  <si>
    <t>Pre-agree reviewer slots; track comments to closure.</t>
  </si>
  <si>
    <t>M10.2</t>
  </si>
  <si>
    <t>Monitoring documentation for governance</t>
  </si>
  <si>
    <t>M9.1, M9.2</t>
  </si>
  <si>
    <t>Monitoring evidence/document complete</t>
  </si>
  <si>
    <t>Build in parallel; avoid end-loaded documentation.</t>
  </si>
  <si>
    <t>M10.3</t>
  </si>
  <si>
    <t>MDT documentation</t>
  </si>
  <si>
    <t>MDT document complete/submitted</t>
  </si>
  <si>
    <t>Pre-book review; delegate if needed.</t>
  </si>
  <si>
    <t>M10.4</t>
  </si>
  <si>
    <t>ToR documentation</t>
  </si>
  <si>
    <t>ToR complete/submitted</t>
  </si>
  <si>
    <t>Prepare template early.</t>
  </si>
  <si>
    <t>M10.5</t>
  </si>
  <si>
    <t>AIRCO documentation</t>
  </si>
  <si>
    <t>Delivery Lead + Model Sponsor</t>
  </si>
  <si>
    <t>28-Oct-26</t>
  </si>
  <si>
    <t>AIRCO pack completed and handed over with sponsor walkthrough</t>
  </si>
  <si>
    <t>Pre-book sponsor; spoon-feed walkthrough and evidence pack; maintain action tracker to closure.</t>
  </si>
  <si>
    <t>M10.6</t>
  </si>
  <si>
    <t>QMIO documentation</t>
  </si>
  <si>
    <t>QMIO document complete/submitted</t>
  </si>
  <si>
    <t>Pre-book reviewers; resolve comments daily.</t>
  </si>
  <si>
    <t>M10.7</t>
  </si>
  <si>
    <t>IMR approval documentation</t>
  </si>
  <si>
    <t>IMR evidence/approval complete as applicable</t>
  </si>
  <si>
    <t>Start evidence collection before October; avoid first draft in governance window.</t>
  </si>
  <si>
    <t>Deployment</t>
  </si>
  <si>
    <t>M11.1</t>
  </si>
  <si>
    <t>IT deployment readiness</t>
  </si>
  <si>
    <t>M8, M9, M10</t>
  </si>
  <si>
    <t>2-Nov-26</t>
  </si>
  <si>
    <t>6-Nov-26</t>
  </si>
  <si>
    <t>IT confirms prerequisites satisfied</t>
  </si>
  <si>
    <t>Escalate IT blocker; Delivery provides evidence/support.</t>
  </si>
  <si>
    <t>M11.2</t>
  </si>
  <si>
    <t>Delivery support / back-up readiness</t>
  </si>
  <si>
    <t>Support rota and escalation contacts confirmed</t>
  </si>
  <si>
    <t>Pre-agree support window around Diwali.</t>
  </si>
  <si>
    <t>Diwali / reduced capacity risk</t>
  </si>
  <si>
    <t>M12.1</t>
  </si>
  <si>
    <t>Production deployment</t>
  </si>
  <si>
    <t>9-Nov-26</t>
  </si>
  <si>
    <t>13-Nov-26</t>
  </si>
  <si>
    <t>IT deploys successfully</t>
  </si>
  <si>
    <t>IT owns deployment recovery plan; Delivery supports technical/business clarification.</t>
  </si>
  <si>
    <t>Diwali recovery window</t>
  </si>
  <si>
    <t>M12.2</t>
  </si>
  <si>
    <t>Post-go-live validation and support</t>
  </si>
  <si>
    <t>20-Nov-26</t>
  </si>
  <si>
    <t>Business/technical validation complete; issues owned and transitioned</t>
  </si>
  <si>
    <t>Prioritised support rota; escalate material production issues.</t>
  </si>
  <si>
    <t>Post-Diwali</t>
  </si>
  <si>
    <t>HSBC  |  MANAGEMENT GANTT — PLANNED vs FORECAST vs ACTUAL</t>
  </si>
  <si>
    <t>Owner</t>
  </si>
  <si>
    <t>Legend</t>
  </si>
  <si>
    <t>Planned</t>
  </si>
  <si>
    <t>Forecast</t>
  </si>
  <si>
    <t>Actual</t>
  </si>
  <si>
    <t>MANAGEMENT RULE</t>
  </si>
  <si>
    <t>Forecast beyond Planned End = schedule variance. Actual End beyond Planned End = realised variance. M1 scoping is already in progress from 05-Aug-2026.</t>
  </si>
  <si>
    <t>HSBC | SCHEDULE CALENDAR &amp; NON-WORKING DAYS</t>
  </si>
  <si>
    <t>Date</t>
  </si>
  <si>
    <t>Day</t>
  </si>
  <si>
    <t>Working Day?</t>
  </si>
  <si>
    <t>Reason / Holiday / Leave</t>
  </si>
  <si>
    <t>Project-wide Non-Working?</t>
  </si>
  <si>
    <t>Notes</t>
  </si>
  <si>
    <t>Project-wide Non-Working Dates</t>
  </si>
  <si>
    <t>Monday</t>
  </si>
  <si>
    <t>Project-wide closure only; individual leave remains in Resource &amp; Capacity.</t>
  </si>
  <si>
    <t>Reason</t>
  </si>
  <si>
    <t>Tuesday</t>
  </si>
  <si>
    <t>Wednesday</t>
  </si>
  <si>
    <t>Thursday</t>
  </si>
  <si>
    <t>Friday</t>
  </si>
  <si>
    <t>Saturday</t>
  </si>
  <si>
    <t>Sunday</t>
  </si>
  <si>
    <t>Only enter project-wide non-working dates here. Individual Durga Puja / Diwali leave is tracked in Resource &amp; Capacity and should not automatically stop the project calendar.</t>
  </si>
  <si>
    <t>HSBC | RESOURCE &amp; CAPACITY</t>
  </si>
  <si>
    <t>Resource</t>
  </si>
  <si>
    <t>Role</t>
  </si>
  <si>
    <t>Confirmed?</t>
  </si>
  <si>
    <t>Start</t>
  </si>
  <si>
    <t>Primary Accountability</t>
  </si>
  <si>
    <t>Aug Capacity</t>
  </si>
  <si>
    <t>Sep Capacity</t>
  </si>
  <si>
    <t>Oct Capacity</t>
  </si>
  <si>
    <t>Nov Capacity</t>
  </si>
  <si>
    <t>Peak Need</t>
  </si>
  <si>
    <t>Management Ask</t>
  </si>
  <si>
    <t>You</t>
  </si>
  <si>
    <t>Delivery Lead / Delivery Owner</t>
  </si>
  <si>
    <t>17-Aug-26</t>
  </si>
  <si>
    <t>End-to-end delivery, QC, schedule, RAID, governance, stakeholder management, recovery; hands-on where required</t>
  </si>
  <si>
    <t>100%</t>
  </si>
  <si>
    <t>85%*</t>
  </si>
  <si>
    <t>Critical</t>
  </si>
  <si>
    <t>N/A – existing core role</t>
  </si>
  <si>
    <t>Russel</t>
  </si>
  <si>
    <t>Senior AI Developer</t>
  </si>
  <si>
    <t>Technical lead, architecture, core AI development, evaluation, code quality, production readiness</t>
  </si>
  <si>
    <t>Junior Developer</t>
  </si>
  <si>
    <t>Junior Data Scientist / AI Developer</t>
  </si>
  <si>
    <t>EDA, data preparation, testing, documentation, support to development/monitoring</t>
  </si>
  <si>
    <t>High</t>
  </si>
  <si>
    <t>Resource 4</t>
  </si>
  <si>
    <t>Senior AI/Data Scientist</t>
  </si>
  <si>
    <t>Recommended 17-Aug-26</t>
  </si>
  <si>
    <t>Parallel linkage / impact development, evaluation, experimentation and remediation</t>
  </si>
  <si>
    <t>Approve from project start</t>
  </si>
  <si>
    <t>Resource 5</t>
  </si>
  <si>
    <t>AI Developer / Data Scientist</t>
  </si>
  <si>
    <t>Recommended 17-Aug-26 or 1-Oct-26</t>
  </si>
  <si>
    <t>Parallel development, prompt/retrieval, testing, documentation and capacity cover</t>
  </si>
  <si>
    <t>Approve phased; start before critical build bottleneck</t>
  </si>
  <si>
    <t>Monitoring Team</t>
  </si>
  <si>
    <t>Monitoring / Operations</t>
  </si>
  <si>
    <t>External dependency</t>
  </si>
  <si>
    <t>TBD</t>
  </si>
  <si>
    <t>Own monitoring operations and KPI execution; Delivery supports</t>
  </si>
  <si>
    <t>Named team + backup required</t>
  </si>
  <si>
    <t>IT / Platform</t>
  </si>
  <si>
    <t>Platform support, monitoring dashboard, integration, deployment and go-live</t>
  </si>
  <si>
    <t>Named IT owner + backup + agreed response path</t>
  </si>
  <si>
    <t>Capacity Planning Note</t>
  </si>
  <si>
    <t>Management Case for Additional Resources</t>
  </si>
  <si>
    <t>• Hard deadline: project completion by Nov 2026; schedule has no negotiation buffer.</t>
  </si>
  <si>
    <t>• Delivery has two substantial AI solution tracks (Linkage + Impact Assessment) plus EDA, evaluation, SME validation, production readiness, governance and monitoring.</t>
  </si>
  <si>
    <t>• One Senior AI Developer creates a technical bottleneck and single point of failure.</t>
  </si>
  <si>
    <t>• The Delivery Lead is accountable for the outcome and therefore needs capacity to manage, QC, recover and intervene technically—not become the sole developer.</t>
  </si>
  <si>
    <t>• October has predictable Kolkata leave impact and November has Diwali availability risk.</t>
  </si>
  <si>
    <t>• Recommendation: approve two additional Data Scientist / AI Developer resources; if Management resists, at minimum approve Resource 4 for the build/evaluation phase.</t>
  </si>
  <si>
    <t>HSBC | EXTERNAL DEPENDENCY REGISTER</t>
  </si>
  <si>
    <t>Dependency Owner</t>
  </si>
  <si>
    <t>Required By</t>
  </si>
  <si>
    <t>Blocks</t>
  </si>
  <si>
    <t>Trigger / Failure Condition</t>
  </si>
  <si>
    <t>Impact</t>
  </si>
  <si>
    <t>Preventive Control</t>
  </si>
  <si>
    <t>Fallback / Recovery</t>
  </si>
  <si>
    <t>Escalation Point</t>
  </si>
  <si>
    <t>ED01</t>
  </si>
  <si>
    <t>REGMAP data access</t>
  </si>
  <si>
    <t>Data Owner</t>
  </si>
  <si>
    <t>Access not available by 24-Aug</t>
  </si>
  <si>
    <t>Access request and confirmation before start</t>
  </si>
  <si>
    <t>Use approved extract; re-sequence non-data work; escalate</t>
  </si>
  <si>
    <t>Delivery Lead + Data Owner</t>
  </si>
  <si>
    <t>Open</t>
  </si>
  <si>
    <t>ED02</t>
  </si>
  <si>
    <t>Helios data access</t>
  </si>
  <si>
    <t>Pre-book access confirmation</t>
  </si>
  <si>
    <t>Approved extract / alternate source if available</t>
  </si>
  <si>
    <t>ED03</t>
  </si>
  <si>
    <t>Historical linked-alert / labelled data</t>
  </si>
  <si>
    <t>Business/SME Data Owner</t>
  </si>
  <si>
    <t>Insufficient linked examples</t>
  </si>
  <si>
    <t>Treat as Day-1 dependency; quantify required population early</t>
  </si>
  <si>
    <t>Formal limitation decision; do not claim credible baseline/evaluation without evidence</t>
  </si>
  <si>
    <t>ED04</t>
  </si>
  <si>
    <t>SME availability – Linkage</t>
  </si>
  <si>
    <t>SME Lead</t>
  </si>
  <si>
    <t>No named SME / no slot</t>
  </si>
  <si>
    <t>Book validation slots in Aug; named backup SME</t>
  </si>
  <si>
    <t>Delegate SME; sponsor escalation; re-sequence remediation but protect gate</t>
  </si>
  <si>
    <t>ED05</t>
  </si>
  <si>
    <t>SME availability – Impact Assessment</t>
  </si>
  <si>
    <t>Delegate SME; sponsor escalation</t>
  </si>
  <si>
    <t>ED06</t>
  </si>
  <si>
    <t>AI platform availability</t>
  </si>
  <si>
    <t>Platform Owner</t>
  </si>
  <si>
    <t>M3/M6</t>
  </si>
  <si>
    <t>Platform unavailable &gt; agreed service window</t>
  </si>
  <si>
    <t>Confirm support route; maintain test artefacts/cached data</t>
  </si>
  <si>
    <t>Offline testing; approved alternate endpoint/environment if available</t>
  </si>
  <si>
    <t>Delivery Lead + Platform Owner</t>
  </si>
  <si>
    <t>ED07</t>
  </si>
  <si>
    <t>API availability / quota</t>
  </si>
  <si>
    <t>API / Platform Owner</t>
  </si>
  <si>
    <t>API errors, quota or outage</t>
  </si>
  <si>
    <t>Quota check and monitoring</t>
  </si>
  <si>
    <t>Cached responses for test cases; alternate approved API/model if available</t>
  </si>
  <si>
    <t>Russel + Platform Owner</t>
  </si>
  <si>
    <t>ED08</t>
  </si>
  <si>
    <t>Compute / server availability</t>
  </si>
  <si>
    <t>Server unavailable / jobs blocked</t>
  </si>
  <si>
    <t>Capacity reservation / support contact</t>
  </si>
  <si>
    <t>Approved alternate compute; queue/retry; re-sequence experiments</t>
  </si>
  <si>
    <t>ED09</t>
  </si>
  <si>
    <t>Monitoring Team capacity</t>
  </si>
  <si>
    <t>Monitoring Team Lead</t>
  </si>
  <si>
    <t>No team or no named owner</t>
  </si>
  <si>
    <t>Secure named team in Aug</t>
  </si>
  <si>
    <t>Sponsor escalation; interim manual monitoring only if formally accepted</t>
  </si>
  <si>
    <t>ED10</t>
  </si>
  <si>
    <t>IT monitoring dashboard</t>
  </si>
  <si>
    <t>IT Owner</t>
  </si>
  <si>
    <t>Dashboard not available by 30-Oct</t>
  </si>
  <si>
    <t>Agree IT build plan and acceptance date</t>
  </si>
  <si>
    <t>Manual monitoring interim only if governance permits; escalate IT delivery</t>
  </si>
  <si>
    <t>Delivery Lead + IT GHead</t>
  </si>
  <si>
    <t>ED11</t>
  </si>
  <si>
    <t>Governance reviewer availability</t>
  </si>
  <si>
    <t>Governance Owners</t>
  </si>
  <si>
    <t>Review slot unavailable / turnaround delayed</t>
  </si>
  <si>
    <t>Pre-book reviewers and review windows</t>
  </si>
  <si>
    <t>Escalate to governance lead; parallelise documents</t>
  </si>
  <si>
    <t>Delivery Lead + Governance Lead</t>
  </si>
  <si>
    <t>ED12</t>
  </si>
  <si>
    <t>Model Sponsor availability for AIRCO</t>
  </si>
  <si>
    <t>Model Sponsor</t>
  </si>
  <si>
    <t>Sponsor unavailable for walkthrough/handover</t>
  </si>
  <si>
    <t>Pre-book sponsor session; prepare spoon-fed pack</t>
  </si>
  <si>
    <t>Delegate if governance permits; sponsor escalation</t>
  </si>
  <si>
    <t>Delivery Lead + Sponsor's Manager</t>
  </si>
  <si>
    <t>ED13</t>
  </si>
  <si>
    <t>IT GHead / IT Owner</t>
  </si>
  <si>
    <t>M11/M12</t>
  </si>
  <si>
    <t>IT environment not ready</t>
  </si>
  <si>
    <t>Deployment readiness checkpoint</t>
  </si>
  <si>
    <t>IT recovery plan; Delivery support only</t>
  </si>
  <si>
    <t>IT GHead</t>
  </si>
  <si>
    <t>HSBC | RAID LOG</t>
  </si>
  <si>
    <t>Type</t>
  </si>
  <si>
    <t>Description</t>
  </si>
  <si>
    <t>Workstream / Milestone</t>
  </si>
  <si>
    <t>Probability</t>
  </si>
  <si>
    <t>Severity</t>
  </si>
  <si>
    <t>Mitigation / Response</t>
  </si>
  <si>
    <t>Target Date</t>
  </si>
  <si>
    <t>Escalation Needed?</t>
  </si>
  <si>
    <t>R01</t>
  </si>
  <si>
    <t>Risk</t>
  </si>
  <si>
    <t>Insufficient historical linked-alert / labelled data prevents credible baseline and evaluation</t>
  </si>
  <si>
    <t>M2/M4</t>
  </si>
  <si>
    <t>Escalate as Day-1 dependency; quantify minimum data need; formal decision if unavailable</t>
  </si>
  <si>
    <t>R02</t>
  </si>
  <si>
    <t>SME unavailable for validation/sign-off</t>
  </si>
  <si>
    <t>M5/M7</t>
  </si>
  <si>
    <t>Medium</t>
  </si>
  <si>
    <t>Pre-book slots + backup SME + sponsor escalation</t>
  </si>
  <si>
    <t>R03</t>
  </si>
  <si>
    <t>Platform/API/server outage disrupts development</t>
  </si>
  <si>
    <t>Fallback test artefacts, alternate approved environment, incident escalation and re-sequencing</t>
  </si>
  <si>
    <t>R04</t>
  </si>
  <si>
    <t>October leave reduces Kolkata team capacity</t>
  </si>
  <si>
    <t>M5-M10</t>
  </si>
  <si>
    <t>Front-load critical validation; confirm leave; protect post-Puja recovery capacity</t>
  </si>
  <si>
    <t>R05</t>
  </si>
  <si>
    <t>Diwali availability reduces November support capacity</t>
  </si>
  <si>
    <t>Agree support rota and IT ownership before Nov</t>
  </si>
  <si>
    <t>1-Nov-26</t>
  </si>
  <si>
    <t>R06</t>
  </si>
  <si>
    <t>Monitoring team not available</t>
  </si>
  <si>
    <t>Secure named Monitoring Team in Aug; escalate capacity gap</t>
  </si>
  <si>
    <t>R07</t>
  </si>
  <si>
    <t>IT monitoring dashboard delayed</t>
  </si>
  <si>
    <t>Baseline dashboard delivery plan; interim monitoring only if formally approved</t>
  </si>
  <si>
    <t>R08</t>
  </si>
  <si>
    <t>Governance documentation becomes end-loaded</t>
  </si>
  <si>
    <t>Create evidence/documentation alongside development and validation</t>
  </si>
  <si>
    <t>R09</t>
  </si>
  <si>
    <t>One Senior AI Developer becomes single point of failure</t>
  </si>
  <si>
    <t>M3-M8</t>
  </si>
  <si>
    <t>Request Resource 4/5; cross-train; protect Russel's capacity</t>
  </si>
  <si>
    <t>R10</t>
  </si>
  <si>
    <t>Hard Nov deadline leaves no recovery buffer</t>
  </si>
  <si>
    <t>All</t>
  </si>
  <si>
    <t>Use weekly critical-path review and recovery triggers from Day 1</t>
  </si>
  <si>
    <t>I01</t>
  </si>
  <si>
    <t>Issue</t>
  </si>
  <si>
    <t>A01</t>
  </si>
  <si>
    <t>Assumption</t>
  </si>
  <si>
    <t>Required project data, platform access and governance routes will be available as planned</t>
  </si>
  <si>
    <t>M1-M2</t>
  </si>
  <si>
    <t>Validate assumptions by 21-Aug; convert failed assumptions to dependencies/issues</t>
  </si>
  <si>
    <t>HSBC | GOVERNANCE TRACKER</t>
  </si>
  <si>
    <t>Governance Item</t>
  </si>
  <si>
    <t>Documentation Activity</t>
  </si>
  <si>
    <t>Evidence / Inputs Required</t>
  </si>
  <si>
    <t>Reviewer / Approver</t>
  </si>
  <si>
    <t>Target Complete</t>
  </si>
  <si>
    <t>Escalation / Recovery</t>
  </si>
  <si>
    <t>GOV1</t>
  </si>
  <si>
    <t>ASDA</t>
  </si>
  <si>
    <t>Create ASDA document; maintain evidence; submit; track comments</t>
  </si>
  <si>
    <t>Scope, solution, evaluation, controls</t>
  </si>
  <si>
    <t>ASDA reviewer</t>
  </si>
  <si>
    <t>Solution evidence</t>
  </si>
  <si>
    <t>Pre-book reviewer; escalate turnaround</t>
  </si>
  <si>
    <t>GOV2</t>
  </si>
  <si>
    <t>Create monitoring document / KPI pack</t>
  </si>
  <si>
    <t>KPIs, thresholds, ownership, monitoring design</t>
  </si>
  <si>
    <t>Governance / Monitoring reviewer</t>
  </si>
  <si>
    <t>M9.1/M9.2</t>
  </si>
  <si>
    <t>Draft in parallel; named Monitoring Team</t>
  </si>
  <si>
    <t>GOV3</t>
  </si>
  <si>
    <t>MDT</t>
  </si>
  <si>
    <t>Create MDT documentation and evidence pack</t>
  </si>
  <si>
    <t>Model/evaluation/governance evidence</t>
  </si>
  <si>
    <t>M4/M5/M7</t>
  </si>
  <si>
    <t>Pre-book review; delegate if permitted</t>
  </si>
  <si>
    <t>GOV4</t>
  </si>
  <si>
    <t>ToR</t>
  </si>
  <si>
    <t>Create Terms of Reference</t>
  </si>
  <si>
    <t>Scope, roles, governance and operating model</t>
  </si>
  <si>
    <t>Relevant governance owner</t>
  </si>
  <si>
    <t>Governance route</t>
  </si>
  <si>
    <t>Template prepared early</t>
  </si>
  <si>
    <t>GOV5</t>
  </si>
  <si>
    <t>QMIO</t>
  </si>
  <si>
    <t>Create QMIO documentation and supporting evidence</t>
  </si>
  <si>
    <t>Model/solution/evaluation/control evidence</t>
  </si>
  <si>
    <t>Delivery Lead + relevant owner</t>
  </si>
  <si>
    <t>Evaluation + governance evidence</t>
  </si>
  <si>
    <t>Pre-book review and track comments daily</t>
  </si>
  <si>
    <t>GOV6</t>
  </si>
  <si>
    <t>AIRCO</t>
  </si>
  <si>
    <t>Create AIRCO document / pack</t>
  </si>
  <si>
    <t>Full model, risk, controls, evidence, decisions and ownership</t>
  </si>
  <si>
    <t>Model Sponsor / AIRCO</t>
  </si>
  <si>
    <t>All major evidence</t>
  </si>
  <si>
    <t>Sponsor slot booked; spoon-fed walkthrough; action tracker</t>
  </si>
  <si>
    <t>GOV7</t>
  </si>
  <si>
    <t>Model Sponsor handover / walkthrough</t>
  </si>
  <si>
    <t>Spoon-feed sponsor: explain document, decisions, evidence, responsibilities and open actions</t>
  </si>
  <si>
    <t>Backup sponsor delegate / management escalation if unavailable</t>
  </si>
  <si>
    <t>GOV8</t>
  </si>
  <si>
    <t>IMR</t>
  </si>
  <si>
    <t>Create/compile IMR documentation and evidence</t>
  </si>
  <si>
    <t>Required IMR evidence</t>
  </si>
  <si>
    <t>IMR reviewers</t>
  </si>
  <si>
    <t>All applicable evidence</t>
  </si>
  <si>
    <t>Pre-book reviewer slots</t>
  </si>
  <si>
    <t>HSBC | MONITORING &amp; HANDOVER</t>
  </si>
  <si>
    <t>Item</t>
  </si>
  <si>
    <t>Delivery Team Responsibility</t>
  </si>
  <si>
    <t>External Team Responsibility</t>
  </si>
  <si>
    <t>Target</t>
  </si>
  <si>
    <t>Recovery if Delayed</t>
  </si>
  <si>
    <t>KPI definition</t>
  </si>
  <si>
    <t>Support KPI definition and confirm solution-specific signals</t>
  </si>
  <si>
    <t>Monitoring Team owns operational KPI definition/monitoring</t>
  </si>
  <si>
    <t>Monitoring Team availability</t>
  </si>
  <si>
    <t>KPIs, thresholds and ownership agreed</t>
  </si>
  <si>
    <t>Escalate capacity; named backup</t>
  </si>
  <si>
    <t>Create/support document</t>
  </si>
  <si>
    <t>Monitoring Team reviews/accepts operational process</t>
  </si>
  <si>
    <t>Approved monitoring document</t>
  </si>
  <si>
    <t>Draft in parallel</t>
  </si>
  <si>
    <t>Monitoring dashboard</t>
  </si>
  <si>
    <t>Provide requirements, validate output</t>
  </si>
  <si>
    <t>IT builds and owns dashboard</t>
  </si>
  <si>
    <t>KPI definition + IT capacity</t>
  </si>
  <si>
    <t>Dashboard built and validated</t>
  </si>
  <si>
    <t>Escalate IT; interim manual monitoring only if approved</t>
  </si>
  <si>
    <t>Monitoring handover</t>
  </si>
  <si>
    <t>Provide model/solution context and support</t>
  </si>
  <si>
    <t>Monitoring Team accepts operational ownership</t>
  </si>
  <si>
    <t>Dashboard + document</t>
  </si>
  <si>
    <t>Named operational owner and backup</t>
  </si>
  <si>
    <t>Sponsor/operations escalation</t>
  </si>
  <si>
    <t>Provide support/back-up; clarify technical/business issues</t>
  </si>
  <si>
    <t>IT owns deployment and go-live</t>
  </si>
  <si>
    <t>IT confirms deployment complete</t>
  </si>
  <si>
    <t>IT recovery plan; Delivery does not own deployment execution</t>
  </si>
  <si>
    <t>Post-go-live support</t>
  </si>
  <si>
    <t>Support, troubleshoot and validate</t>
  </si>
  <si>
    <t>IT/Monitoring own operational processes</t>
  </si>
  <si>
    <t>Successful deployment</t>
  </si>
  <si>
    <t>Open critical issues owned; support transition complete</t>
  </si>
  <si>
    <t>Escalate material production issue through IT/governance</t>
  </si>
  <si>
    <t>HSBC | ASSUMPTIONS &amp; CALENDAR</t>
  </si>
  <si>
    <t>Date / Window</t>
  </si>
  <si>
    <t>Planning Treatment</t>
  </si>
  <si>
    <t>Action Required</t>
  </si>
  <si>
    <t>Project start</t>
  </si>
  <si>
    <t>Baseline</t>
  </si>
  <si>
    <t>Hard start date</t>
  </si>
  <si>
    <t>Confirmed</t>
  </si>
  <si>
    <t>Project completion</t>
  </si>
  <si>
    <t>Constraint</t>
  </si>
  <si>
    <t>Hard deadline; exact contractual date to be confirmed</t>
  </si>
  <si>
    <t>Confirm exact date</t>
  </si>
  <si>
    <t>Durga Puja capacity reduction</t>
  </si>
  <si>
    <t>Capacity Risk</t>
  </si>
  <si>
    <t>Oct 2026</t>
  </si>
  <si>
    <t>Reduce Kolkata team availability; front-load SME validation and critical development</t>
  </si>
  <si>
    <t>Confirm exact leave dates for user + Russel</t>
  </si>
  <si>
    <t>Diwali capacity reduction</t>
  </si>
  <si>
    <t>Plan support rota and avoid relying on full team availability around Diwali</t>
  </si>
  <si>
    <t>Confirm exact leave dates</t>
  </si>
  <si>
    <t>SME validation slots</t>
  </si>
  <si>
    <t>Must be booked in Aug, not assumed later</t>
  </si>
  <si>
    <t>Secure named SME + backup</t>
  </si>
  <si>
    <t>Must be confirmed before monitoring work starts</t>
  </si>
  <si>
    <t>Secure named team + backup</t>
  </si>
  <si>
    <t>IT dashboard capacity</t>
  </si>
  <si>
    <t>15–30 Oct</t>
  </si>
  <si>
    <t>IT-owned build; Delivery validates</t>
  </si>
  <si>
    <t>Confirm IT owner and plan</t>
  </si>
  <si>
    <t>IT deployment ownership</t>
  </si>
  <si>
    <t>Scope boundary</t>
  </si>
  <si>
    <t>IT owns deployment/go-live; Delivery support only</t>
  </si>
  <si>
    <t>Document RACI</t>
  </si>
  <si>
    <t>Additional Resource 4</t>
  </si>
  <si>
    <t>Resource Ask</t>
  </si>
  <si>
    <t>Recommended to protect parallel AI development/evaluation</t>
  </si>
  <si>
    <t>Management</t>
  </si>
  <si>
    <t>Approve</t>
  </si>
  <si>
    <t>Additional Resource 5</t>
  </si>
  <si>
    <t>17-Aug-26 or 1-Oct-26</t>
  </si>
  <si>
    <t>Recommended to reduce bottleneck and cover capacity</t>
  </si>
  <si>
    <t>Approve / phase</t>
  </si>
  <si>
    <t>HSBC | RACI</t>
  </si>
  <si>
    <t>Deliverable / Decision</t>
  </si>
  <si>
    <t>Additional AI/Data Scientist</t>
  </si>
  <si>
    <t>SME</t>
  </si>
  <si>
    <t>Overall delivery</t>
  </si>
  <si>
    <t>A/R</t>
  </si>
  <si>
    <t>C</t>
  </si>
  <si>
    <t>I</t>
  </si>
  <si>
    <t>Scope / baseline</t>
  </si>
  <si>
    <t>EDA / data readiness</t>
  </si>
  <si>
    <t>A</t>
  </si>
  <si>
    <t>R</t>
  </si>
  <si>
    <t>Linkage solution</t>
  </si>
  <si>
    <t>Impact assessment solution</t>
  </si>
  <si>
    <t>Evaluation / method selection</t>
  </si>
  <si>
    <t>Production code/documentation</t>
  </si>
  <si>
    <t>Monitoring KPI/process</t>
  </si>
  <si>
    <t>Governance documentation</t>
  </si>
  <si>
    <t>AIRCO sponsor handover</t>
  </si>
  <si>
    <t>Deployment / Go-live</t>
  </si>
  <si>
    <t>HSBC | CRITICAL PATH</t>
  </si>
  <si>
    <t>Sequence</t>
  </si>
  <si>
    <t>Milestone / Gate</t>
  </si>
  <si>
    <t>Target End</t>
  </si>
  <si>
    <t>Must Happen Before</t>
  </si>
  <si>
    <t>Primary Owner</t>
  </si>
  <si>
    <t>Failure Impact</t>
  </si>
  <si>
    <t>Recovery Trigger</t>
  </si>
  <si>
    <t>Recovery Action</t>
  </si>
  <si>
    <t>M1 Scope &amp; baseline</t>
  </si>
  <si>
    <t>Schedule baseline unstable</t>
  </si>
  <si>
    <t>Scope not signed by 21-Aug</t>
  </si>
  <si>
    <t>Escalate; freeze decisions; protect downstream dates</t>
  </si>
  <si>
    <t>M2 Data Readiness</t>
  </si>
  <si>
    <t>M3/M4/M6</t>
  </si>
  <si>
    <t>Development/evaluation blocked</t>
  </si>
  <si>
    <t>Critical data unavailable or quality unacceptable</t>
  </si>
  <si>
    <t>Escalate data owner; use approved extract; formal limitation decision</t>
  </si>
  <si>
    <t>M3 Linkage Build</t>
  </si>
  <si>
    <t>Method selection compressed</t>
  </si>
  <si>
    <t>Candidate solution not evaluation-ready</t>
  </si>
  <si>
    <t>Add resource / re-sequence / cut non-critical experiments</t>
  </si>
  <si>
    <t>M4 Method Selection</t>
  </si>
  <si>
    <t>SME validation cannot start</t>
  </si>
  <si>
    <t>No evidence-based method selected</t>
  </si>
  <si>
    <t>Decision escalation; use pre-agreed decision forum</t>
  </si>
  <si>
    <t>M5 Linkage SME Sign-off</t>
  </si>
  <si>
    <t>Production readiness blocked</t>
  </si>
  <si>
    <t>SME absent / material unresolved findings</t>
  </si>
  <si>
    <t>Backup SME / sponsor escalation / protected remediation</t>
  </si>
  <si>
    <t>M7 Impact SME Sign-off</t>
  </si>
  <si>
    <t>M8 Production Readiness</t>
  </si>
  <si>
    <t>IT cannot prepare deployment</t>
  </si>
  <si>
    <t>Code/KT/documentation incomplete</t>
  </si>
  <si>
    <t>Parallelise documentation; add AI developer capacity</t>
  </si>
  <si>
    <t>M9 Monitoring Readiness</t>
  </si>
  <si>
    <t>Governance/deployment readiness impacted</t>
  </si>
  <si>
    <t>Monitoring team/dashboard delayed</t>
  </si>
  <si>
    <t>Escalate; interim process only if formally approved</t>
  </si>
  <si>
    <t>M10 Governance</t>
  </si>
  <si>
    <t>Deployment cannot proceed</t>
  </si>
  <si>
    <t>Reviewer delay/document gap</t>
  </si>
  <si>
    <t>Parallel reviews; escalate governance owner</t>
  </si>
  <si>
    <t>M11 Deployment Readiness</t>
  </si>
  <si>
    <t>Go-live slips</t>
  </si>
  <si>
    <t>Environment not ready</t>
  </si>
  <si>
    <t>IT recovery plan; Delivery supports</t>
  </si>
  <si>
    <t>M12 Go-Live</t>
  </si>
  <si>
    <t>Nov-26</t>
  </si>
  <si>
    <t>Hard deadline threatened</t>
  </si>
  <si>
    <t>Deployment failure</t>
  </si>
  <si>
    <t>IT incident/recovery plan; Delivery supports and validates</t>
  </si>
  <si>
    <t>HSBC | MANAGEMENT RESOURCE ASK</t>
  </si>
  <si>
    <t>DECISION NEEDED</t>
  </si>
  <si>
    <t>OPTION</t>
  </si>
  <si>
    <t>TEAM</t>
  </si>
  <si>
    <t>DELIVERY CONFIDENCE</t>
  </si>
  <si>
    <t>PRIMARY RISK</t>
  </si>
  <si>
    <t>RECOMMENDATION</t>
  </si>
  <si>
    <t>3 core</t>
  </si>
  <si>
    <t>Low / fragile</t>
  </si>
  <si>
    <t>Russel becomes technical bottleneck; parallel work becomes serial; leave + external dependencies create no recovery capacity</t>
  </si>
  <si>
    <t>Do not recommend</t>
  </si>
  <si>
    <t>B</t>
  </si>
  <si>
    <t>4 people</t>
  </si>
  <si>
    <t>Medium–High</t>
  </si>
  <si>
    <t>Still limited capacity for parallel Linkage + Impact + production/governance support</t>
  </si>
  <si>
    <t>Minimum acceptable</t>
  </si>
  <si>
    <t>5 people</t>
  </si>
  <si>
    <t>Requires management approval but gives parallel AI delivery capacity and recovery resilience</t>
  </si>
  <si>
    <t>RECOMMENDED</t>
  </si>
  <si>
    <t>WHY 5?</t>
  </si>
  <si>
    <t>• Two major AI solution tracks need to progress in parallel.</t>
  </si>
  <si>
    <t>• Russel is the only confirmed Senior AI Developer and is a single point of technical failure.</t>
  </si>
  <si>
    <t>• The Delivery Lead must own end-to-end delivery/QC and retain capacity for intervention, not become the default developer.</t>
  </si>
  <si>
    <t>• October Kolkata leave reduces effective capacity; November Diwali creates further availability risk.</t>
  </si>
  <si>
    <t>• SME, platform/API/server, Monitoring Team, IT dashboard and governance are external dependencies that can consume schedule buffer.</t>
  </si>
  <si>
    <t>• Hard Nov deadline means recovery capacity must exist before a problem occurs.</t>
  </si>
  <si>
    <t>NAMING CONVENTION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</si>
</sst>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m\-yyyy"/>
    <numFmt numFmtId="165" formatCode="dd\-mmm"/>
  </numFmts>
  <fonts count="13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1"/>
      <color rgb="FF666666"/>
      <name val="Calibri"/>
    </font>
    <font>
      <b/>
      <sz val="14"/>
      <color rgb="FFDB0011"/>
      <name val="Calibri"/>
    </font>
    <font>
      <b/>
      <sz val="14"/>
      <color rgb="FF333333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6"/>
      <color rgb="FFFFFFFF"/>
      <name val="Calibri"/>
    </font>
    <font>
      <b/>
      <sz val="18"/>
      <color rgb="FFFFFFFF"/>
      <name val="Calibri"/>
    </font>
    <font>
      <b/>
      <sz val="11"/>
      <color rgb="FFDB0011"/>
      <name val="Calibri"/>
    </font>
    <font>
      <b/>
      <sz val="11"/>
      <color rgb="FF333333"/>
      <name val="Calibri"/>
    </font>
    <font>
      <b/>
      <sz val="12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B0011"/>
      </patternFill>
    </fill>
    <fill>
      <patternFill patternType="solid">
        <fgColor rgb="FFFCE4E4"/>
      </patternFill>
    </fill>
    <fill>
      <patternFill patternType="solid">
        <fgColor rgb="FFF4F4F4"/>
      </patternFill>
    </fill>
    <fill>
      <patternFill patternType="solid">
        <fgColor rgb="FF333333"/>
      </patternFill>
    </fill>
    <fill>
      <patternFill patternType="solid">
        <fgColor rgb="FFD9E1F2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5" fillId="5" borderId="0" xfId="0" applyFont="1" applyFill="1"/>
    <xf numFmtId="0" fontId="9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5" fillId="5" borderId="1" xfId="0" applyFont="1" applyFill="1" applyBorder="1" applyAlignment="1">
      <alignment horizontal="center" wrapText="1"/>
    </xf>
    <xf numFmtId="165" fontId="5" fillId="5" borderId="1" xfId="0" applyNumberFormat="1" applyFont="1" applyFill="1" applyBorder="1" applyAlignment="1">
      <alignment horizontal="center" vertical="center" textRotation="90"/>
    </xf>
    <xf numFmtId="0" fontId="10" fillId="6" borderId="1" xfId="0" applyFont="1" applyFill="1" applyBorder="1"/>
    <xf numFmtId="0" fontId="10" fillId="3" borderId="1" xfId="0" applyFont="1" applyFill="1" applyBorder="1"/>
    <xf numFmtId="0" fontId="5" fillId="2" borderId="1" xfId="0" applyFont="1" applyFill="1" applyBorder="1"/>
    <xf numFmtId="0" fontId="5" fillId="5" borderId="1" xfId="0" applyFont="1" applyFill="1" applyBorder="1" applyAlignment="1">
      <alignment wrapText="1"/>
    </xf>
    <xf numFmtId="0" fontId="12" fillId="4" borderId="1" xfId="0" applyFont="1" applyFill="1" applyBorder="1" applyAlignment="1">
      <alignment vertical="top" wrapText="1"/>
    </xf>
    <xf numFmtId="165" fontId="5" fillId="5" borderId="0" xfId="0" applyNumberFormat="1" applyFont="1" applyFill="1" applyAlignment="1">
      <alignment horizontal="center" vertical="center" textRotation="90"/>
    </xf>
    <xf numFmtId="0" fontId="3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4" borderId="1" xfId="0" applyFont="1" applyFill="1" applyBorder="1" applyAlignment="1">
      <alignment vertical="top" wrapText="1"/>
    </xf>
    <xf numFmtId="0" fontId="5" fillId="5" borderId="0" xfId="0" applyFont="1" applyFill="1"/>
    <xf numFmtId="0" fontId="0" fillId="0" borderId="1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 wrapText="1"/>
    </xf>
    <xf numFmtId="0" fontId="5" fillId="2" borderId="0" xfId="0" applyFont="1" applyFill="1"/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1" fillId="5" borderId="0" xfId="0" applyFont="1" applyFill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1" fillId="5" borderId="0" xfId="0" applyFont="1" applyFill="1"/>
    <xf numFmtId="0" fontId="6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0" xfId="0" applyFont="1" applyFill="1" applyBorder="1" applyAlignment="1">
      <alignment vertical="center"/>
    </xf>
  </cellXfs>
  <cellStyles count="1">
    <cellStyle name="Normal" xfId="0" builtinId="0"/>
  </cellStyles>
  <dxfs count="15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B0011"/>
        </patternFill>
      </fill>
    </dxf>
    <dxf>
      <fill>
        <patternFill patternType="solid">
          <fgColor rgb="FFFCE4E4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1" defaultTableStyle="TableStyleMedium9" defaultPivotStyle="PivotStyleLight16">
    <tableStyle name="Invisible" pivot="0" table="0" count="0" xr9:uid="{0375A0FE-B3D1-49DC-9E7E-37B58756FA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0011"/>
    <pageSetUpPr fitToPage="1"/>
  </sheetPr>
  <dimension ref="A1:N50"/>
  <sheetViews>
    <sheetView showGridLines="0" zoomScale="70" zoomScaleNormal="70" workbookViewId="0">
      <pane ySplit="23" topLeftCell="A24" activePane="bottomLeft" state="frozen"/>
      <selection pane="bottomLeft" activeCell="A15" sqref="A15:N15"/>
    </sheetView>
  </sheetViews>
  <sheetFormatPr defaultRowHeight="14.4" x14ac:dyDescent="0.3"/>
  <cols>
    <col min="1" max="1" width="10" customWidth="1"/>
    <col min="2" max="2" width="30" customWidth="1"/>
    <col min="3" max="3" width="18" customWidth="1"/>
    <col min="4" max="4" width="28" customWidth="1"/>
    <col min="5" max="5" width="36" customWidth="1"/>
    <col min="6" max="6" width="12" customWidth="1"/>
    <col min="7" max="7" width="60" customWidth="1"/>
    <col min="8" max="8" width="16" customWidth="1"/>
    <col min="9" max="9" width="27.88671875" customWidth="1"/>
    <col min="10" max="10" width="49.6640625" customWidth="1"/>
    <col min="11" max="14" width="18" customWidth="1"/>
  </cols>
  <sheetData>
    <row r="1" spans="1:14" ht="28.05" customHeight="1" x14ac:dyDescent="0.3">
      <c r="A1" s="43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3.95" customHeight="1" x14ac:dyDescent="0.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7.799999999999997" customHeight="1" x14ac:dyDescent="0.3">
      <c r="A4" s="2" t="s">
        <v>1</v>
      </c>
      <c r="B4" s="3">
        <v>46251</v>
      </c>
      <c r="C4" s="1"/>
      <c r="D4" s="2" t="s">
        <v>2</v>
      </c>
      <c r="E4" s="4" t="s">
        <v>3</v>
      </c>
      <c r="F4" s="1"/>
      <c r="G4" s="2" t="s">
        <v>4</v>
      </c>
      <c r="H4" s="4" t="s">
        <v>5</v>
      </c>
      <c r="I4" s="1"/>
      <c r="J4" s="2" t="s">
        <v>6</v>
      </c>
      <c r="K4" s="4" t="s">
        <v>7</v>
      </c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25" t="s">
        <v>8</v>
      </c>
      <c r="B6" s="26"/>
      <c r="C6" s="27"/>
      <c r="D6" s="1"/>
      <c r="E6" s="34" t="s">
        <v>9</v>
      </c>
      <c r="F6" s="26"/>
      <c r="G6" s="27"/>
      <c r="H6" s="1"/>
      <c r="I6" s="34" t="s">
        <v>10</v>
      </c>
      <c r="J6" s="26"/>
      <c r="K6" s="27"/>
      <c r="L6" s="1"/>
      <c r="M6" s="25" t="s">
        <v>11</v>
      </c>
      <c r="N6" s="27"/>
    </row>
    <row r="7" spans="1:14" x14ac:dyDescent="0.3">
      <c r="A7" s="28"/>
      <c r="B7" s="29"/>
      <c r="C7" s="30"/>
      <c r="D7" s="1"/>
      <c r="E7" s="28"/>
      <c r="F7" s="29"/>
      <c r="G7" s="30"/>
      <c r="H7" s="1"/>
      <c r="I7" s="28"/>
      <c r="J7" s="29"/>
      <c r="K7" s="30"/>
      <c r="L7" s="1"/>
      <c r="M7" s="28"/>
      <c r="N7" s="30"/>
    </row>
    <row r="8" spans="1:14" x14ac:dyDescent="0.3">
      <c r="A8" s="31"/>
      <c r="B8" s="32"/>
      <c r="C8" s="33"/>
      <c r="D8" s="1"/>
      <c r="E8" s="31"/>
      <c r="F8" s="32"/>
      <c r="G8" s="33"/>
      <c r="H8" s="1"/>
      <c r="I8" s="31"/>
      <c r="J8" s="32"/>
      <c r="K8" s="33"/>
      <c r="L8" s="1"/>
      <c r="M8" s="31"/>
      <c r="N8" s="33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42" t="s">
        <v>12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1:14" x14ac:dyDescent="0.3">
      <c r="A11" s="41" t="s">
        <v>13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</row>
    <row r="12" spans="1:14" x14ac:dyDescent="0.3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42" t="s">
        <v>14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x14ac:dyDescent="0.3">
      <c r="A15" s="36" t="s">
        <v>15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8"/>
    </row>
    <row r="16" spans="1:14" x14ac:dyDescent="0.3">
      <c r="A16" s="36" t="s">
        <v>16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/>
    </row>
    <row r="17" spans="1:14" x14ac:dyDescent="0.3">
      <c r="A17" s="36" t="s">
        <v>17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x14ac:dyDescent="0.3">
      <c r="A18" s="36" t="s">
        <v>18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8"/>
    </row>
    <row r="19" spans="1:14" x14ac:dyDescent="0.3">
      <c r="A19" s="36" t="s">
        <v>19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</row>
    <row r="20" spans="1:14" x14ac:dyDescent="0.3">
      <c r="A20" s="36" t="s">
        <v>20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 x14ac:dyDescent="0.3">
      <c r="A21" s="36" t="s">
        <v>21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8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42" t="s">
        <v>22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8"/>
    </row>
    <row r="24" spans="1:14" x14ac:dyDescent="0.3">
      <c r="A24" s="6" t="s">
        <v>23</v>
      </c>
      <c r="B24" s="6" t="s">
        <v>24</v>
      </c>
      <c r="C24" s="6" t="s">
        <v>25</v>
      </c>
      <c r="D24" s="6" t="s">
        <v>26</v>
      </c>
      <c r="E24" s="6" t="s">
        <v>27</v>
      </c>
      <c r="F24" s="6" t="s">
        <v>28</v>
      </c>
      <c r="G24" s="6" t="s">
        <v>29</v>
      </c>
      <c r="H24" s="6" t="s">
        <v>30</v>
      </c>
      <c r="I24" s="1"/>
      <c r="J24" s="1"/>
      <c r="K24" s="1"/>
      <c r="L24" s="1"/>
      <c r="M24" s="1"/>
      <c r="N24" s="1"/>
    </row>
    <row r="25" spans="1:14" x14ac:dyDescent="0.3">
      <c r="A25" s="1" t="s">
        <v>31</v>
      </c>
      <c r="B25" s="1" t="s">
        <v>32</v>
      </c>
      <c r="C25" s="1" t="s">
        <v>33</v>
      </c>
      <c r="D25" s="1" t="s">
        <v>34</v>
      </c>
      <c r="E25" s="1" t="s">
        <v>35</v>
      </c>
      <c r="F25" s="1" t="s">
        <v>36</v>
      </c>
      <c r="G25" s="1" t="s">
        <v>37</v>
      </c>
      <c r="H25" s="5" t="s">
        <v>38</v>
      </c>
      <c r="I25" s="1"/>
      <c r="J25" s="1"/>
      <c r="K25" s="1"/>
      <c r="L25" s="1"/>
      <c r="M25" s="1"/>
      <c r="N25" s="1"/>
    </row>
    <row r="26" spans="1:14" x14ac:dyDescent="0.3">
      <c r="A26" s="1" t="s">
        <v>39</v>
      </c>
      <c r="B26" s="1" t="s">
        <v>40</v>
      </c>
      <c r="C26" s="1" t="s">
        <v>41</v>
      </c>
      <c r="D26" s="1" t="s">
        <v>42</v>
      </c>
      <c r="E26" s="1" t="s">
        <v>43</v>
      </c>
      <c r="F26" s="1" t="s">
        <v>36</v>
      </c>
      <c r="G26" s="1" t="s">
        <v>44</v>
      </c>
      <c r="H26" s="5" t="s">
        <v>38</v>
      </c>
      <c r="I26" s="1"/>
      <c r="J26" s="1"/>
      <c r="K26" s="1"/>
      <c r="L26" s="1"/>
      <c r="M26" s="1"/>
      <c r="N26" s="1"/>
    </row>
    <row r="27" spans="1:14" x14ac:dyDescent="0.3">
      <c r="A27" s="1" t="s">
        <v>45</v>
      </c>
      <c r="B27" s="1" t="s">
        <v>46</v>
      </c>
      <c r="C27" s="1" t="s">
        <v>47</v>
      </c>
      <c r="D27" s="1" t="s">
        <v>48</v>
      </c>
      <c r="E27" s="1" t="s">
        <v>49</v>
      </c>
      <c r="F27" s="1" t="s">
        <v>36</v>
      </c>
      <c r="G27" s="1" t="s">
        <v>50</v>
      </c>
      <c r="H27" s="5" t="s">
        <v>38</v>
      </c>
      <c r="I27" s="1"/>
      <c r="J27" s="1"/>
      <c r="K27" s="1"/>
      <c r="L27" s="1"/>
      <c r="M27" s="1"/>
      <c r="N27" s="1"/>
    </row>
    <row r="28" spans="1:14" ht="28.8" x14ac:dyDescent="0.3">
      <c r="A28" s="1" t="s">
        <v>51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36</v>
      </c>
      <c r="G28" s="1" t="s">
        <v>56</v>
      </c>
      <c r="H28" s="5" t="s">
        <v>38</v>
      </c>
      <c r="I28" s="1"/>
      <c r="J28" s="1"/>
      <c r="K28" s="1"/>
      <c r="L28" s="1"/>
      <c r="M28" s="1"/>
      <c r="N28" s="1"/>
    </row>
    <row r="29" spans="1:14" x14ac:dyDescent="0.3">
      <c r="A29" s="1" t="s">
        <v>57</v>
      </c>
      <c r="B29" s="1" t="s">
        <v>58</v>
      </c>
      <c r="C29" s="1" t="s">
        <v>59</v>
      </c>
      <c r="D29" s="1" t="s">
        <v>34</v>
      </c>
      <c r="E29" s="1" t="s">
        <v>60</v>
      </c>
      <c r="F29" s="1" t="s">
        <v>36</v>
      </c>
      <c r="G29" s="1" t="s">
        <v>61</v>
      </c>
      <c r="H29" s="5" t="s">
        <v>38</v>
      </c>
      <c r="I29" s="1"/>
      <c r="J29" s="1"/>
      <c r="K29" s="1"/>
      <c r="L29" s="1"/>
      <c r="M29" s="1"/>
      <c r="N29" s="1"/>
    </row>
    <row r="30" spans="1:14" x14ac:dyDescent="0.3">
      <c r="A30" s="1" t="s">
        <v>62</v>
      </c>
      <c r="B30" s="1" t="s">
        <v>63</v>
      </c>
      <c r="C30" s="1" t="s">
        <v>47</v>
      </c>
      <c r="D30" s="1" t="s">
        <v>64</v>
      </c>
      <c r="E30" s="1" t="s">
        <v>65</v>
      </c>
      <c r="F30" s="1" t="s">
        <v>36</v>
      </c>
      <c r="G30" s="1" t="s">
        <v>66</v>
      </c>
      <c r="H30" s="5" t="s">
        <v>38</v>
      </c>
      <c r="I30" s="1"/>
      <c r="J30" s="1"/>
      <c r="K30" s="1"/>
      <c r="L30" s="1"/>
      <c r="M30" s="1"/>
      <c r="N30" s="1"/>
    </row>
    <row r="31" spans="1:14" x14ac:dyDescent="0.3">
      <c r="A31" s="1" t="s">
        <v>67</v>
      </c>
      <c r="B31" s="1" t="s">
        <v>68</v>
      </c>
      <c r="C31" s="1" t="s">
        <v>59</v>
      </c>
      <c r="D31" s="1" t="s">
        <v>34</v>
      </c>
      <c r="E31" s="1" t="s">
        <v>60</v>
      </c>
      <c r="F31" s="1" t="s">
        <v>36</v>
      </c>
      <c r="G31" s="1" t="s">
        <v>61</v>
      </c>
      <c r="H31" s="5" t="s">
        <v>38</v>
      </c>
      <c r="I31" s="1"/>
      <c r="J31" s="1"/>
      <c r="K31" s="1"/>
      <c r="L31" s="1"/>
      <c r="M31" s="1"/>
      <c r="N31" s="1"/>
    </row>
    <row r="32" spans="1:14" x14ac:dyDescent="0.3">
      <c r="A32" s="1" t="s">
        <v>69</v>
      </c>
      <c r="B32" s="1" t="s">
        <v>70</v>
      </c>
      <c r="C32" s="1" t="s">
        <v>71</v>
      </c>
      <c r="D32" s="1" t="s">
        <v>72</v>
      </c>
      <c r="E32" s="1" t="s">
        <v>73</v>
      </c>
      <c r="F32" s="1" t="s">
        <v>36</v>
      </c>
      <c r="G32" s="1" t="s">
        <v>74</v>
      </c>
      <c r="H32" s="5" t="s">
        <v>38</v>
      </c>
      <c r="I32" s="1"/>
      <c r="J32" s="1"/>
      <c r="K32" s="1"/>
      <c r="L32" s="1"/>
      <c r="M32" s="1"/>
      <c r="N32" s="1"/>
    </row>
    <row r="33" spans="1:14" x14ac:dyDescent="0.3">
      <c r="A33" s="1" t="s">
        <v>75</v>
      </c>
      <c r="B33" s="1" t="s">
        <v>76</v>
      </c>
      <c r="C33" s="1" t="s">
        <v>77</v>
      </c>
      <c r="D33" s="1" t="s">
        <v>78</v>
      </c>
      <c r="E33" s="1" t="s">
        <v>79</v>
      </c>
      <c r="F33" s="1" t="s">
        <v>36</v>
      </c>
      <c r="G33" s="1" t="s">
        <v>80</v>
      </c>
      <c r="H33" s="5" t="s">
        <v>38</v>
      </c>
      <c r="I33" s="1"/>
      <c r="J33" s="1"/>
      <c r="K33" s="1"/>
      <c r="L33" s="1"/>
      <c r="M33" s="1"/>
      <c r="N33" s="1"/>
    </row>
    <row r="34" spans="1:14" x14ac:dyDescent="0.3">
      <c r="A34" s="1" t="s">
        <v>81</v>
      </c>
      <c r="B34" s="1" t="s">
        <v>82</v>
      </c>
      <c r="C34" s="1" t="s">
        <v>77</v>
      </c>
      <c r="D34" s="1" t="s">
        <v>83</v>
      </c>
      <c r="E34" s="1" t="s">
        <v>84</v>
      </c>
      <c r="F34" s="1" t="s">
        <v>36</v>
      </c>
      <c r="G34" s="1" t="s">
        <v>85</v>
      </c>
      <c r="H34" s="5" t="s">
        <v>38</v>
      </c>
      <c r="I34" s="1"/>
      <c r="J34" s="1"/>
      <c r="K34" s="1"/>
      <c r="L34" s="1"/>
      <c r="M34" s="1"/>
      <c r="N34" s="1"/>
    </row>
    <row r="35" spans="1:14" x14ac:dyDescent="0.3">
      <c r="A35" s="1" t="s">
        <v>86</v>
      </c>
      <c r="B35" s="1" t="s">
        <v>87</v>
      </c>
      <c r="C35" s="1" t="s">
        <v>88</v>
      </c>
      <c r="D35" s="1" t="s">
        <v>89</v>
      </c>
      <c r="E35" s="1" t="s">
        <v>90</v>
      </c>
      <c r="F35" s="1" t="s">
        <v>36</v>
      </c>
      <c r="G35" s="1" t="s">
        <v>91</v>
      </c>
      <c r="H35" s="5" t="s">
        <v>38</v>
      </c>
      <c r="I35" s="1"/>
      <c r="J35" s="1"/>
      <c r="K35" s="1"/>
      <c r="L35" s="1"/>
      <c r="M35" s="1"/>
      <c r="N35" s="1"/>
    </row>
    <row r="36" spans="1:14" x14ac:dyDescent="0.3">
      <c r="A36" s="1" t="s">
        <v>92</v>
      </c>
      <c r="B36" s="1" t="s">
        <v>93</v>
      </c>
      <c r="C36" s="1" t="s">
        <v>94</v>
      </c>
      <c r="D36" s="1" t="s">
        <v>95</v>
      </c>
      <c r="E36" s="1" t="s">
        <v>86</v>
      </c>
      <c r="F36" s="1" t="s">
        <v>36</v>
      </c>
      <c r="G36" s="1" t="s">
        <v>96</v>
      </c>
      <c r="H36" s="5" t="s">
        <v>38</v>
      </c>
      <c r="I36" s="1"/>
      <c r="J36" s="1"/>
      <c r="K36" s="1"/>
      <c r="L36" s="1"/>
      <c r="M36" s="1"/>
      <c r="N36" s="1"/>
    </row>
    <row r="37" spans="1:14" x14ac:dyDescent="0.3">
      <c r="A37" s="40" t="s">
        <v>97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3">
      <c r="A38" s="39" t="s">
        <v>98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14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x14ac:dyDescent="0.3">
      <c r="A41" s="35" t="s">
        <v>99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14" x14ac:dyDescent="0.3">
      <c r="A42" s="39" t="s">
        <v>100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5" spans="1:14" x14ac:dyDescent="0.3">
      <c r="A45" s="35" t="s">
        <v>101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14" x14ac:dyDescent="0.3">
      <c r="A46" s="29" t="s">
        <v>102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spans="1:14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spans="1:14" x14ac:dyDescent="0.3">
      <c r="A48" s="35" t="s">
        <v>103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spans="1:14" x14ac:dyDescent="0.3">
      <c r="A49" s="39" t="s">
        <v>104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spans="1:14" x14ac:dyDescent="0.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</sheetData>
  <mergeCells count="24">
    <mergeCell ref="A49:N50"/>
    <mergeCell ref="A14:N14"/>
    <mergeCell ref="A17:N17"/>
    <mergeCell ref="A1:N2"/>
    <mergeCell ref="A20:N20"/>
    <mergeCell ref="A38:N40"/>
    <mergeCell ref="A19:N19"/>
    <mergeCell ref="A10:N10"/>
    <mergeCell ref="A6:C8"/>
    <mergeCell ref="E6:G8"/>
    <mergeCell ref="A48:N48"/>
    <mergeCell ref="A46:N47"/>
    <mergeCell ref="A15:N15"/>
    <mergeCell ref="A45:N45"/>
    <mergeCell ref="A42:N43"/>
    <mergeCell ref="A16:N16"/>
    <mergeCell ref="A41:N41"/>
    <mergeCell ref="A37:N37"/>
    <mergeCell ref="M6:N8"/>
    <mergeCell ref="A18:N18"/>
    <mergeCell ref="I6:K8"/>
    <mergeCell ref="A21:N21"/>
    <mergeCell ref="A11:N12"/>
    <mergeCell ref="A23:N23"/>
  </mergeCells>
  <conditionalFormatting sqref="H25:H100">
    <cfRule type="expression" dxfId="14" priority="1">
      <formula>H2="Green"</formula>
    </cfRule>
    <cfRule type="expression" dxfId="13" priority="2">
      <formula>H2="Amber"</formula>
    </cfRule>
    <cfRule type="expression" dxfId="12" priority="3">
      <formula>H2="Red"</formula>
    </cfRule>
  </conditionalFormatting>
  <dataValidations count="1">
    <dataValidation type="list" allowBlank="1" sqref="H25:H100" xr:uid="{00000000-0002-0000-0000-000000000000}">
      <formula1>"Not Started,Green,Amber,Red,Blocked,Complete"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0011"/>
    <pageSetUpPr fitToPage="1"/>
  </sheetPr>
  <dimension ref="A1:H112"/>
  <sheetViews>
    <sheetView showGridLines="0" workbookViewId="0">
      <pane ySplit="3" topLeftCell="A82" activePane="bottomLeft" state="frozen"/>
      <selection pane="bottomLeft" sqref="A1:H2"/>
    </sheetView>
  </sheetViews>
  <sheetFormatPr defaultRowHeight="14.4" x14ac:dyDescent="0.3"/>
  <cols>
    <col min="1" max="1" width="28" customWidth="1"/>
    <col min="2" max="8" width="18" customWidth="1"/>
  </cols>
  <sheetData>
    <row r="1" spans="1:8" ht="28.05" customHeight="1" x14ac:dyDescent="0.3">
      <c r="A1" s="48" t="s">
        <v>105</v>
      </c>
      <c r="B1" s="29"/>
      <c r="C1" s="29"/>
      <c r="D1" s="29"/>
      <c r="E1" s="29"/>
      <c r="F1" s="29"/>
      <c r="G1" s="29"/>
      <c r="H1" s="29"/>
    </row>
    <row r="2" spans="1:8" x14ac:dyDescent="0.3">
      <c r="A2" s="29"/>
      <c r="B2" s="29"/>
      <c r="C2" s="29"/>
      <c r="D2" s="29"/>
      <c r="E2" s="29"/>
      <c r="F2" s="29"/>
      <c r="G2" s="29"/>
      <c r="H2" s="29"/>
    </row>
    <row r="3" spans="1:8" x14ac:dyDescent="0.3">
      <c r="A3" s="11"/>
      <c r="B3" s="11"/>
      <c r="C3" s="11"/>
      <c r="D3" s="11"/>
      <c r="E3" s="11"/>
      <c r="F3" s="11"/>
      <c r="G3" s="11"/>
      <c r="H3" s="11"/>
    </row>
    <row r="4" spans="1:8" ht="22.05" customHeight="1" x14ac:dyDescent="0.3">
      <c r="A4" s="44" t="s">
        <v>106</v>
      </c>
      <c r="B4" s="29"/>
      <c r="C4" s="29"/>
      <c r="D4" s="29"/>
      <c r="E4" s="29"/>
      <c r="F4" s="29"/>
      <c r="G4" s="29"/>
      <c r="H4" s="29"/>
    </row>
    <row r="5" spans="1:8" ht="30" customHeight="1" x14ac:dyDescent="0.3">
      <c r="A5" s="36" t="s">
        <v>107</v>
      </c>
      <c r="B5" s="37"/>
      <c r="C5" s="37"/>
      <c r="D5" s="37"/>
      <c r="E5" s="37"/>
      <c r="F5" s="37"/>
      <c r="G5" s="37"/>
      <c r="H5" s="38"/>
    </row>
    <row r="6" spans="1:8" ht="30" customHeight="1" x14ac:dyDescent="0.3">
      <c r="A6" s="36" t="s">
        <v>108</v>
      </c>
      <c r="B6" s="37"/>
      <c r="C6" s="37"/>
      <c r="D6" s="37"/>
      <c r="E6" s="37"/>
      <c r="F6" s="37"/>
      <c r="G6" s="37"/>
      <c r="H6" s="38"/>
    </row>
    <row r="7" spans="1:8" ht="30" customHeight="1" x14ac:dyDescent="0.3">
      <c r="A7" s="36" t="s">
        <v>109</v>
      </c>
      <c r="B7" s="37"/>
      <c r="C7" s="37"/>
      <c r="D7" s="37"/>
      <c r="E7" s="37"/>
      <c r="F7" s="37"/>
      <c r="G7" s="37"/>
      <c r="H7" s="38"/>
    </row>
    <row r="8" spans="1:8" ht="22.05" customHeight="1" x14ac:dyDescent="0.3">
      <c r="A8" s="44" t="s">
        <v>110</v>
      </c>
      <c r="B8" s="29"/>
      <c r="C8" s="29"/>
      <c r="D8" s="29"/>
      <c r="E8" s="29"/>
      <c r="F8" s="29"/>
      <c r="G8" s="29"/>
      <c r="H8" s="29"/>
    </row>
    <row r="9" spans="1:8" ht="30" customHeight="1" x14ac:dyDescent="0.3">
      <c r="A9" s="36" t="s">
        <v>111</v>
      </c>
      <c r="B9" s="37"/>
      <c r="C9" s="37"/>
      <c r="D9" s="37"/>
      <c r="E9" s="37"/>
      <c r="F9" s="37"/>
      <c r="G9" s="37"/>
      <c r="H9" s="38"/>
    </row>
    <row r="10" spans="1:8" ht="30" customHeight="1" x14ac:dyDescent="0.3">
      <c r="A10" s="36" t="s">
        <v>112</v>
      </c>
      <c r="B10" s="37"/>
      <c r="C10" s="37"/>
      <c r="D10" s="37"/>
      <c r="E10" s="37"/>
      <c r="F10" s="37"/>
      <c r="G10" s="37"/>
      <c r="H10" s="38"/>
    </row>
    <row r="11" spans="1:8" ht="30" customHeight="1" x14ac:dyDescent="0.3">
      <c r="A11" s="36" t="s">
        <v>113</v>
      </c>
      <c r="B11" s="37"/>
      <c r="C11" s="37"/>
      <c r="D11" s="37"/>
      <c r="E11" s="37"/>
      <c r="F11" s="37"/>
      <c r="G11" s="37"/>
      <c r="H11" s="38"/>
    </row>
    <row r="12" spans="1:8" ht="30" customHeight="1" x14ac:dyDescent="0.3">
      <c r="A12" s="36" t="s">
        <v>114</v>
      </c>
      <c r="B12" s="37"/>
      <c r="C12" s="37"/>
      <c r="D12" s="37"/>
      <c r="E12" s="37"/>
      <c r="F12" s="37"/>
      <c r="G12" s="37"/>
      <c r="H12" s="38"/>
    </row>
    <row r="13" spans="1:8" ht="30" customHeight="1" x14ac:dyDescent="0.3">
      <c r="A13" s="36" t="s">
        <v>115</v>
      </c>
      <c r="B13" s="37"/>
      <c r="C13" s="37"/>
      <c r="D13" s="37"/>
      <c r="E13" s="37"/>
      <c r="F13" s="37"/>
      <c r="G13" s="37"/>
      <c r="H13" s="38"/>
    </row>
    <row r="14" spans="1:8" ht="22.05" customHeight="1" x14ac:dyDescent="0.3">
      <c r="A14" s="44" t="s">
        <v>116</v>
      </c>
      <c r="B14" s="29"/>
      <c r="C14" s="29"/>
      <c r="D14" s="29"/>
      <c r="E14" s="29"/>
      <c r="F14" s="29"/>
      <c r="G14" s="29"/>
      <c r="H14" s="29"/>
    </row>
    <row r="15" spans="1:8" ht="31.95" customHeight="1" x14ac:dyDescent="0.3">
      <c r="A15" s="45" t="s">
        <v>117</v>
      </c>
      <c r="B15" s="38"/>
      <c r="C15" s="36" t="s">
        <v>118</v>
      </c>
      <c r="D15" s="37"/>
      <c r="E15" s="37"/>
      <c r="F15" s="37"/>
      <c r="G15" s="37"/>
      <c r="H15" s="38"/>
    </row>
    <row r="16" spans="1:8" ht="31.95" customHeight="1" x14ac:dyDescent="0.3">
      <c r="A16" s="45" t="s">
        <v>119</v>
      </c>
      <c r="B16" s="38"/>
      <c r="C16" s="36" t="s">
        <v>120</v>
      </c>
      <c r="D16" s="37"/>
      <c r="E16" s="37"/>
      <c r="F16" s="37"/>
      <c r="G16" s="37"/>
      <c r="H16" s="38"/>
    </row>
    <row r="17" spans="1:8" ht="31.95" customHeight="1" x14ac:dyDescent="0.3">
      <c r="A17" s="45" t="s">
        <v>121</v>
      </c>
      <c r="B17" s="38"/>
      <c r="C17" s="36" t="s">
        <v>122</v>
      </c>
      <c r="D17" s="37"/>
      <c r="E17" s="37"/>
      <c r="F17" s="37"/>
      <c r="G17" s="37"/>
      <c r="H17" s="38"/>
    </row>
    <row r="18" spans="1:8" ht="31.95" customHeight="1" x14ac:dyDescent="0.3">
      <c r="A18" s="45" t="s">
        <v>123</v>
      </c>
      <c r="B18" s="38"/>
      <c r="C18" s="36" t="s">
        <v>124</v>
      </c>
      <c r="D18" s="37"/>
      <c r="E18" s="37"/>
      <c r="F18" s="37"/>
      <c r="G18" s="37"/>
      <c r="H18" s="38"/>
    </row>
    <row r="19" spans="1:8" ht="31.95" customHeight="1" x14ac:dyDescent="0.3">
      <c r="A19" s="45" t="s">
        <v>125</v>
      </c>
      <c r="B19" s="38"/>
      <c r="C19" s="36" t="s">
        <v>126</v>
      </c>
      <c r="D19" s="37"/>
      <c r="E19" s="37"/>
      <c r="F19" s="37"/>
      <c r="G19" s="37"/>
      <c r="H19" s="38"/>
    </row>
    <row r="20" spans="1:8" ht="31.95" customHeight="1" x14ac:dyDescent="0.3">
      <c r="A20" s="45" t="s">
        <v>127</v>
      </c>
      <c r="B20" s="38"/>
      <c r="C20" s="36" t="s">
        <v>128</v>
      </c>
      <c r="D20" s="37"/>
      <c r="E20" s="37"/>
      <c r="F20" s="37"/>
      <c r="G20" s="37"/>
      <c r="H20" s="38"/>
    </row>
    <row r="21" spans="1:8" ht="31.95" customHeight="1" x14ac:dyDescent="0.3">
      <c r="A21" s="45" t="s">
        <v>129</v>
      </c>
      <c r="B21" s="38"/>
      <c r="C21" s="36" t="s">
        <v>130</v>
      </c>
      <c r="D21" s="37"/>
      <c r="E21" s="37"/>
      <c r="F21" s="37"/>
      <c r="G21" s="37"/>
      <c r="H21" s="38"/>
    </row>
    <row r="22" spans="1:8" ht="22.05" customHeight="1" x14ac:dyDescent="0.3">
      <c r="A22" s="44" t="s">
        <v>131</v>
      </c>
      <c r="B22" s="29"/>
      <c r="C22" s="29"/>
      <c r="D22" s="29"/>
      <c r="E22" s="29"/>
      <c r="F22" s="29"/>
      <c r="G22" s="29"/>
      <c r="H22" s="29"/>
    </row>
    <row r="23" spans="1:8" ht="30" customHeight="1" x14ac:dyDescent="0.3">
      <c r="A23" s="36" t="s">
        <v>132</v>
      </c>
      <c r="B23" s="37"/>
      <c r="C23" s="37"/>
      <c r="D23" s="37"/>
      <c r="E23" s="37"/>
      <c r="F23" s="37"/>
      <c r="G23" s="37"/>
      <c r="H23" s="38"/>
    </row>
    <row r="24" spans="1:8" ht="30" customHeight="1" x14ac:dyDescent="0.3">
      <c r="A24" s="36" t="s">
        <v>133</v>
      </c>
      <c r="B24" s="37"/>
      <c r="C24" s="37"/>
      <c r="D24" s="37"/>
      <c r="E24" s="37"/>
      <c r="F24" s="37"/>
      <c r="G24" s="37"/>
      <c r="H24" s="38"/>
    </row>
    <row r="25" spans="1:8" ht="30" customHeight="1" x14ac:dyDescent="0.3">
      <c r="A25" s="36" t="s">
        <v>134</v>
      </c>
      <c r="B25" s="37"/>
      <c r="C25" s="37"/>
      <c r="D25" s="37"/>
      <c r="E25" s="37"/>
      <c r="F25" s="37"/>
      <c r="G25" s="37"/>
      <c r="H25" s="38"/>
    </row>
    <row r="26" spans="1:8" ht="30" customHeight="1" x14ac:dyDescent="0.3">
      <c r="A26" s="36" t="s">
        <v>135</v>
      </c>
      <c r="B26" s="37"/>
      <c r="C26" s="37"/>
      <c r="D26" s="37"/>
      <c r="E26" s="37"/>
      <c r="F26" s="37"/>
      <c r="G26" s="37"/>
      <c r="H26" s="38"/>
    </row>
    <row r="27" spans="1:8" ht="30" customHeight="1" x14ac:dyDescent="0.3">
      <c r="A27" s="36" t="s">
        <v>136</v>
      </c>
      <c r="B27" s="37"/>
      <c r="C27" s="37"/>
      <c r="D27" s="37"/>
      <c r="E27" s="37"/>
      <c r="F27" s="37"/>
      <c r="G27" s="37"/>
      <c r="H27" s="38"/>
    </row>
    <row r="28" spans="1:8" ht="30" customHeight="1" x14ac:dyDescent="0.3">
      <c r="A28" s="36" t="s">
        <v>137</v>
      </c>
      <c r="B28" s="37"/>
      <c r="C28" s="37"/>
      <c r="D28" s="37"/>
      <c r="E28" s="37"/>
      <c r="F28" s="37"/>
      <c r="G28" s="37"/>
      <c r="H28" s="38"/>
    </row>
    <row r="29" spans="1:8" ht="30" customHeight="1" x14ac:dyDescent="0.3">
      <c r="A29" s="36" t="s">
        <v>138</v>
      </c>
      <c r="B29" s="37"/>
      <c r="C29" s="37"/>
      <c r="D29" s="37"/>
      <c r="E29" s="37"/>
      <c r="F29" s="37"/>
      <c r="G29" s="37"/>
      <c r="H29" s="38"/>
    </row>
    <row r="30" spans="1:8" ht="22.05" customHeight="1" x14ac:dyDescent="0.3">
      <c r="A30" s="44" t="s">
        <v>139</v>
      </c>
      <c r="B30" s="29"/>
      <c r="C30" s="29"/>
      <c r="D30" s="29"/>
      <c r="E30" s="29"/>
      <c r="F30" s="29"/>
      <c r="G30" s="29"/>
      <c r="H30" s="29"/>
    </row>
    <row r="31" spans="1:8" ht="30" customHeight="1" x14ac:dyDescent="0.3">
      <c r="A31" s="36" t="s">
        <v>140</v>
      </c>
      <c r="B31" s="37"/>
      <c r="C31" s="37"/>
      <c r="D31" s="37"/>
      <c r="E31" s="37"/>
      <c r="F31" s="37"/>
      <c r="G31" s="37"/>
      <c r="H31" s="38"/>
    </row>
    <row r="32" spans="1:8" ht="30" customHeight="1" x14ac:dyDescent="0.3">
      <c r="A32" s="36" t="s">
        <v>141</v>
      </c>
      <c r="B32" s="37"/>
      <c r="C32" s="37"/>
      <c r="D32" s="37"/>
      <c r="E32" s="37"/>
      <c r="F32" s="37"/>
      <c r="G32" s="37"/>
      <c r="H32" s="38"/>
    </row>
    <row r="33" spans="1:8" ht="30" customHeight="1" x14ac:dyDescent="0.3">
      <c r="A33" s="36" t="s">
        <v>142</v>
      </c>
      <c r="B33" s="37"/>
      <c r="C33" s="37"/>
      <c r="D33" s="37"/>
      <c r="E33" s="37"/>
      <c r="F33" s="37"/>
      <c r="G33" s="37"/>
      <c r="H33" s="38"/>
    </row>
    <row r="34" spans="1:8" ht="30" customHeight="1" x14ac:dyDescent="0.3">
      <c r="A34" s="36" t="s">
        <v>143</v>
      </c>
      <c r="B34" s="37"/>
      <c r="C34" s="37"/>
      <c r="D34" s="37"/>
      <c r="E34" s="37"/>
      <c r="F34" s="37"/>
      <c r="G34" s="37"/>
      <c r="H34" s="38"/>
    </row>
    <row r="35" spans="1:8" ht="30" customHeight="1" x14ac:dyDescent="0.3">
      <c r="A35" s="36" t="s">
        <v>144</v>
      </c>
      <c r="B35" s="37"/>
      <c r="C35" s="37"/>
      <c r="D35" s="37"/>
      <c r="E35" s="37"/>
      <c r="F35" s="37"/>
      <c r="G35" s="37"/>
      <c r="H35" s="38"/>
    </row>
    <row r="36" spans="1:8" ht="30" customHeight="1" x14ac:dyDescent="0.3">
      <c r="A36" s="36" t="s">
        <v>145</v>
      </c>
      <c r="B36" s="37"/>
      <c r="C36" s="37"/>
      <c r="D36" s="37"/>
      <c r="E36" s="37"/>
      <c r="F36" s="37"/>
      <c r="G36" s="37"/>
      <c r="H36" s="38"/>
    </row>
    <row r="37" spans="1:8" ht="22.05" customHeight="1" x14ac:dyDescent="0.3">
      <c r="A37" s="44" t="s">
        <v>146</v>
      </c>
      <c r="B37" s="29"/>
      <c r="C37" s="29"/>
      <c r="D37" s="29"/>
      <c r="E37" s="29"/>
      <c r="F37" s="29"/>
      <c r="G37" s="29"/>
      <c r="H37" s="29"/>
    </row>
    <row r="38" spans="1:8" ht="30" customHeight="1" x14ac:dyDescent="0.3">
      <c r="A38" s="36" t="s">
        <v>147</v>
      </c>
      <c r="B38" s="37"/>
      <c r="C38" s="37"/>
      <c r="D38" s="37"/>
      <c r="E38" s="37"/>
      <c r="F38" s="37"/>
      <c r="G38" s="37"/>
      <c r="H38" s="38"/>
    </row>
    <row r="39" spans="1:8" ht="30" customHeight="1" x14ac:dyDescent="0.3">
      <c r="A39" s="36" t="s">
        <v>148</v>
      </c>
      <c r="B39" s="37"/>
      <c r="C39" s="37"/>
      <c r="D39" s="37"/>
      <c r="E39" s="37"/>
      <c r="F39" s="37"/>
      <c r="G39" s="37"/>
      <c r="H39" s="38"/>
    </row>
    <row r="40" spans="1:8" ht="30" customHeight="1" x14ac:dyDescent="0.3">
      <c r="A40" s="36" t="s">
        <v>149</v>
      </c>
      <c r="B40" s="37"/>
      <c r="C40" s="37"/>
      <c r="D40" s="37"/>
      <c r="E40" s="37"/>
      <c r="F40" s="37"/>
      <c r="G40" s="37"/>
      <c r="H40" s="38"/>
    </row>
    <row r="41" spans="1:8" ht="30" customHeight="1" x14ac:dyDescent="0.3">
      <c r="A41" s="36" t="s">
        <v>150</v>
      </c>
      <c r="B41" s="37"/>
      <c r="C41" s="37"/>
      <c r="D41" s="37"/>
      <c r="E41" s="37"/>
      <c r="F41" s="37"/>
      <c r="G41" s="37"/>
      <c r="H41" s="38"/>
    </row>
    <row r="42" spans="1:8" ht="30" customHeight="1" x14ac:dyDescent="0.3">
      <c r="A42" s="36" t="s">
        <v>151</v>
      </c>
      <c r="B42" s="37"/>
      <c r="C42" s="37"/>
      <c r="D42" s="37"/>
      <c r="E42" s="37"/>
      <c r="F42" s="37"/>
      <c r="G42" s="37"/>
      <c r="H42" s="38"/>
    </row>
    <row r="43" spans="1:8" ht="22.05" customHeight="1" x14ac:dyDescent="0.3">
      <c r="A43" s="44" t="s">
        <v>152</v>
      </c>
      <c r="B43" s="29"/>
      <c r="C43" s="29"/>
      <c r="D43" s="29"/>
      <c r="E43" s="29"/>
      <c r="F43" s="29"/>
      <c r="G43" s="29"/>
      <c r="H43" s="29"/>
    </row>
    <row r="44" spans="1:8" ht="30" customHeight="1" x14ac:dyDescent="0.3">
      <c r="A44" s="36" t="s">
        <v>153</v>
      </c>
      <c r="B44" s="37"/>
      <c r="C44" s="37"/>
      <c r="D44" s="37"/>
      <c r="E44" s="37"/>
      <c r="F44" s="37"/>
      <c r="G44" s="37"/>
      <c r="H44" s="38"/>
    </row>
    <row r="45" spans="1:8" ht="30" customHeight="1" x14ac:dyDescent="0.3">
      <c r="A45" s="36" t="s">
        <v>154</v>
      </c>
      <c r="B45" s="37"/>
      <c r="C45" s="37"/>
      <c r="D45" s="37"/>
      <c r="E45" s="37"/>
      <c r="F45" s="37"/>
      <c r="G45" s="37"/>
      <c r="H45" s="38"/>
    </row>
    <row r="46" spans="1:8" ht="30" customHeight="1" x14ac:dyDescent="0.3">
      <c r="A46" s="36" t="s">
        <v>155</v>
      </c>
      <c r="B46" s="37"/>
      <c r="C46" s="37"/>
      <c r="D46" s="37"/>
      <c r="E46" s="37"/>
      <c r="F46" s="37"/>
      <c r="G46" s="37"/>
      <c r="H46" s="38"/>
    </row>
    <row r="47" spans="1:8" ht="30" customHeight="1" x14ac:dyDescent="0.3">
      <c r="A47" s="36" t="s">
        <v>156</v>
      </c>
      <c r="B47" s="37"/>
      <c r="C47" s="37"/>
      <c r="D47" s="37"/>
      <c r="E47" s="37"/>
      <c r="F47" s="37"/>
      <c r="G47" s="37"/>
      <c r="H47" s="38"/>
    </row>
    <row r="48" spans="1:8" ht="22.05" customHeight="1" x14ac:dyDescent="0.3">
      <c r="A48" s="44" t="s">
        <v>157</v>
      </c>
      <c r="B48" s="29"/>
      <c r="C48" s="29"/>
      <c r="D48" s="29"/>
      <c r="E48" s="29"/>
      <c r="F48" s="29"/>
      <c r="G48" s="29"/>
      <c r="H48" s="29"/>
    </row>
    <row r="49" spans="1:8" ht="30" customHeight="1" x14ac:dyDescent="0.3">
      <c r="A49" s="36" t="s">
        <v>158</v>
      </c>
      <c r="B49" s="37"/>
      <c r="C49" s="37"/>
      <c r="D49" s="37"/>
      <c r="E49" s="37"/>
      <c r="F49" s="37"/>
      <c r="G49" s="37"/>
      <c r="H49" s="38"/>
    </row>
    <row r="50" spans="1:8" ht="30" customHeight="1" x14ac:dyDescent="0.3">
      <c r="A50" s="36" t="s">
        <v>159</v>
      </c>
      <c r="B50" s="37"/>
      <c r="C50" s="37"/>
      <c r="D50" s="37"/>
      <c r="E50" s="37"/>
      <c r="F50" s="37"/>
      <c r="G50" s="37"/>
      <c r="H50" s="38"/>
    </row>
    <row r="51" spans="1:8" ht="30" customHeight="1" x14ac:dyDescent="0.3">
      <c r="A51" s="36" t="s">
        <v>160</v>
      </c>
      <c r="B51" s="37"/>
      <c r="C51" s="37"/>
      <c r="D51" s="37"/>
      <c r="E51" s="37"/>
      <c r="F51" s="37"/>
      <c r="G51" s="37"/>
      <c r="H51" s="38"/>
    </row>
    <row r="52" spans="1:8" ht="30" customHeight="1" x14ac:dyDescent="0.3">
      <c r="A52" s="36" t="s">
        <v>161</v>
      </c>
      <c r="B52" s="37"/>
      <c r="C52" s="37"/>
      <c r="D52" s="37"/>
      <c r="E52" s="37"/>
      <c r="F52" s="37"/>
      <c r="G52" s="37"/>
      <c r="H52" s="38"/>
    </row>
    <row r="53" spans="1:8" ht="22.05" customHeight="1" x14ac:dyDescent="0.3">
      <c r="A53" s="44" t="s">
        <v>162</v>
      </c>
      <c r="B53" s="29"/>
      <c r="C53" s="29"/>
      <c r="D53" s="29"/>
      <c r="E53" s="29"/>
      <c r="F53" s="29"/>
      <c r="G53" s="29"/>
      <c r="H53" s="29"/>
    </row>
    <row r="54" spans="1:8" ht="30" customHeight="1" x14ac:dyDescent="0.3">
      <c r="A54" s="36" t="s">
        <v>163</v>
      </c>
      <c r="B54" s="37"/>
      <c r="C54" s="37"/>
      <c r="D54" s="37"/>
      <c r="E54" s="37"/>
      <c r="F54" s="37"/>
      <c r="G54" s="37"/>
      <c r="H54" s="38"/>
    </row>
    <row r="55" spans="1:8" ht="30" customHeight="1" x14ac:dyDescent="0.3">
      <c r="A55" s="36" t="s">
        <v>164</v>
      </c>
      <c r="B55" s="37"/>
      <c r="C55" s="37"/>
      <c r="D55" s="37"/>
      <c r="E55" s="37"/>
      <c r="F55" s="37"/>
      <c r="G55" s="37"/>
      <c r="H55" s="38"/>
    </row>
    <row r="56" spans="1:8" ht="30" customHeight="1" x14ac:dyDescent="0.3">
      <c r="A56" s="36" t="s">
        <v>165</v>
      </c>
      <c r="B56" s="37"/>
      <c r="C56" s="37"/>
      <c r="D56" s="37"/>
      <c r="E56" s="37"/>
      <c r="F56" s="37"/>
      <c r="G56" s="37"/>
      <c r="H56" s="38"/>
    </row>
    <row r="57" spans="1:8" ht="30" customHeight="1" x14ac:dyDescent="0.3">
      <c r="A57" s="36" t="s">
        <v>166</v>
      </c>
      <c r="B57" s="37"/>
      <c r="C57" s="37"/>
      <c r="D57" s="37"/>
      <c r="E57" s="37"/>
      <c r="F57" s="37"/>
      <c r="G57" s="37"/>
      <c r="H57" s="38"/>
    </row>
    <row r="58" spans="1:8" ht="22.05" customHeight="1" x14ac:dyDescent="0.3">
      <c r="A58" s="44" t="s">
        <v>167</v>
      </c>
      <c r="B58" s="29"/>
      <c r="C58" s="29"/>
      <c r="D58" s="29"/>
      <c r="E58" s="29"/>
      <c r="F58" s="29"/>
      <c r="G58" s="29"/>
      <c r="H58" s="29"/>
    </row>
    <row r="59" spans="1:8" ht="30" customHeight="1" x14ac:dyDescent="0.3">
      <c r="A59" s="36" t="s">
        <v>168</v>
      </c>
      <c r="B59" s="37"/>
      <c r="C59" s="37"/>
      <c r="D59" s="37"/>
      <c r="E59" s="37"/>
      <c r="F59" s="37"/>
      <c r="G59" s="37"/>
      <c r="H59" s="38"/>
    </row>
    <row r="60" spans="1:8" ht="30" customHeight="1" x14ac:dyDescent="0.3">
      <c r="A60" s="36" t="s">
        <v>169</v>
      </c>
      <c r="B60" s="37"/>
      <c r="C60" s="37"/>
      <c r="D60" s="37"/>
      <c r="E60" s="37"/>
      <c r="F60" s="37"/>
      <c r="G60" s="37"/>
      <c r="H60" s="38"/>
    </row>
    <row r="61" spans="1:8" ht="30" customHeight="1" x14ac:dyDescent="0.3">
      <c r="A61" s="36" t="s">
        <v>170</v>
      </c>
      <c r="B61" s="37"/>
      <c r="C61" s="37"/>
      <c r="D61" s="37"/>
      <c r="E61" s="37"/>
      <c r="F61" s="37"/>
      <c r="G61" s="37"/>
      <c r="H61" s="38"/>
    </row>
    <row r="62" spans="1:8" ht="30" customHeight="1" x14ac:dyDescent="0.3">
      <c r="A62" s="36" t="s">
        <v>171</v>
      </c>
      <c r="B62" s="37"/>
      <c r="C62" s="37"/>
      <c r="D62" s="37"/>
      <c r="E62" s="37"/>
      <c r="F62" s="37"/>
      <c r="G62" s="37"/>
      <c r="H62" s="38"/>
    </row>
    <row r="63" spans="1:8" ht="22.05" customHeight="1" x14ac:dyDescent="0.3">
      <c r="A63" s="44" t="s">
        <v>172</v>
      </c>
      <c r="B63" s="29"/>
      <c r="C63" s="29"/>
      <c r="D63" s="29"/>
      <c r="E63" s="29"/>
      <c r="F63" s="29"/>
      <c r="G63" s="29"/>
      <c r="H63" s="29"/>
    </row>
    <row r="64" spans="1:8" ht="30" customHeight="1" x14ac:dyDescent="0.3">
      <c r="A64" s="36" t="s">
        <v>173</v>
      </c>
      <c r="B64" s="37"/>
      <c r="C64" s="37"/>
      <c r="D64" s="37"/>
      <c r="E64" s="37"/>
      <c r="F64" s="37"/>
      <c r="G64" s="37"/>
      <c r="H64" s="38"/>
    </row>
    <row r="65" spans="1:8" ht="30" customHeight="1" x14ac:dyDescent="0.3">
      <c r="A65" s="36" t="s">
        <v>174</v>
      </c>
      <c r="B65" s="37"/>
      <c r="C65" s="37"/>
      <c r="D65" s="37"/>
      <c r="E65" s="37"/>
      <c r="F65" s="37"/>
      <c r="G65" s="37"/>
      <c r="H65" s="38"/>
    </row>
    <row r="66" spans="1:8" ht="30" customHeight="1" x14ac:dyDescent="0.3">
      <c r="A66" s="36" t="s">
        <v>175</v>
      </c>
      <c r="B66" s="37"/>
      <c r="C66" s="37"/>
      <c r="D66" s="37"/>
      <c r="E66" s="37"/>
      <c r="F66" s="37"/>
      <c r="G66" s="37"/>
      <c r="H66" s="38"/>
    </row>
    <row r="67" spans="1:8" ht="30" customHeight="1" x14ac:dyDescent="0.3">
      <c r="A67" s="36" t="s">
        <v>176</v>
      </c>
      <c r="B67" s="37"/>
      <c r="C67" s="37"/>
      <c r="D67" s="37"/>
      <c r="E67" s="37"/>
      <c r="F67" s="37"/>
      <c r="G67" s="37"/>
      <c r="H67" s="38"/>
    </row>
    <row r="68" spans="1:8" ht="30" customHeight="1" x14ac:dyDescent="0.3">
      <c r="A68" s="36" t="s">
        <v>177</v>
      </c>
      <c r="B68" s="37"/>
      <c r="C68" s="37"/>
      <c r="D68" s="37"/>
      <c r="E68" s="37"/>
      <c r="F68" s="37"/>
      <c r="G68" s="37"/>
      <c r="H68" s="38"/>
    </row>
    <row r="69" spans="1:8" ht="22.05" customHeight="1" x14ac:dyDescent="0.3">
      <c r="A69" s="44" t="s">
        <v>178</v>
      </c>
      <c r="B69" s="29"/>
      <c r="C69" s="29"/>
      <c r="D69" s="29"/>
      <c r="E69" s="29"/>
      <c r="F69" s="29"/>
      <c r="G69" s="29"/>
      <c r="H69" s="29"/>
    </row>
    <row r="70" spans="1:8" ht="30" customHeight="1" x14ac:dyDescent="0.3">
      <c r="A70" s="36" t="s">
        <v>179</v>
      </c>
      <c r="B70" s="37"/>
      <c r="C70" s="37"/>
      <c r="D70" s="37"/>
      <c r="E70" s="37"/>
      <c r="F70" s="37"/>
      <c r="G70" s="37"/>
      <c r="H70" s="38"/>
    </row>
    <row r="71" spans="1:8" ht="30" customHeight="1" x14ac:dyDescent="0.3">
      <c r="A71" s="36" t="s">
        <v>180</v>
      </c>
      <c r="B71" s="37"/>
      <c r="C71" s="37"/>
      <c r="D71" s="37"/>
      <c r="E71" s="37"/>
      <c r="F71" s="37"/>
      <c r="G71" s="37"/>
      <c r="H71" s="38"/>
    </row>
    <row r="72" spans="1:8" ht="30" customHeight="1" x14ac:dyDescent="0.3">
      <c r="A72" s="36" t="s">
        <v>181</v>
      </c>
      <c r="B72" s="37"/>
      <c r="C72" s="37"/>
      <c r="D72" s="37"/>
      <c r="E72" s="37"/>
      <c r="F72" s="37"/>
      <c r="G72" s="37"/>
      <c r="H72" s="38"/>
    </row>
    <row r="73" spans="1:8" ht="22.05" customHeight="1" x14ac:dyDescent="0.3">
      <c r="A73" s="44" t="s">
        <v>182</v>
      </c>
      <c r="B73" s="29"/>
      <c r="C73" s="29"/>
      <c r="D73" s="29"/>
      <c r="E73" s="29"/>
      <c r="F73" s="29"/>
      <c r="G73" s="29"/>
      <c r="H73" s="29"/>
    </row>
    <row r="74" spans="1:8" ht="30" customHeight="1" x14ac:dyDescent="0.3">
      <c r="A74" s="36" t="s">
        <v>183</v>
      </c>
      <c r="B74" s="37"/>
      <c r="C74" s="37"/>
      <c r="D74" s="37"/>
      <c r="E74" s="37"/>
      <c r="F74" s="37"/>
      <c r="G74" s="37"/>
      <c r="H74" s="38"/>
    </row>
    <row r="75" spans="1:8" ht="30" customHeight="1" x14ac:dyDescent="0.3">
      <c r="A75" s="36" t="s">
        <v>184</v>
      </c>
      <c r="B75" s="37"/>
      <c r="C75" s="37"/>
      <c r="D75" s="37"/>
      <c r="E75" s="37"/>
      <c r="F75" s="37"/>
      <c r="G75" s="37"/>
      <c r="H75" s="38"/>
    </row>
    <row r="76" spans="1:8" ht="30" customHeight="1" x14ac:dyDescent="0.3">
      <c r="A76" s="36" t="s">
        <v>185</v>
      </c>
      <c r="B76" s="37"/>
      <c r="C76" s="37"/>
      <c r="D76" s="37"/>
      <c r="E76" s="37"/>
      <c r="F76" s="37"/>
      <c r="G76" s="37"/>
      <c r="H76" s="38"/>
    </row>
    <row r="77" spans="1:8" ht="22.05" customHeight="1" x14ac:dyDescent="0.3">
      <c r="A77" s="44" t="s">
        <v>186</v>
      </c>
      <c r="B77" s="29"/>
      <c r="C77" s="29"/>
      <c r="D77" s="29"/>
      <c r="E77" s="29"/>
      <c r="F77" s="29"/>
      <c r="G77" s="29"/>
      <c r="H77" s="29"/>
    </row>
    <row r="78" spans="1:8" ht="30" customHeight="1" x14ac:dyDescent="0.3">
      <c r="A78" s="36" t="s">
        <v>187</v>
      </c>
      <c r="B78" s="37"/>
      <c r="C78" s="37"/>
      <c r="D78" s="37"/>
      <c r="E78" s="37"/>
      <c r="F78" s="37"/>
      <c r="G78" s="37"/>
      <c r="H78" s="38"/>
    </row>
    <row r="79" spans="1:8" ht="30" customHeight="1" x14ac:dyDescent="0.3">
      <c r="A79" s="36" t="s">
        <v>188</v>
      </c>
      <c r="B79" s="37"/>
      <c r="C79" s="37"/>
      <c r="D79" s="37"/>
      <c r="E79" s="37"/>
      <c r="F79" s="37"/>
      <c r="G79" s="37"/>
      <c r="H79" s="38"/>
    </row>
    <row r="80" spans="1:8" ht="30" customHeight="1" x14ac:dyDescent="0.3">
      <c r="A80" s="36" t="s">
        <v>189</v>
      </c>
      <c r="B80" s="37"/>
      <c r="C80" s="37"/>
      <c r="D80" s="37"/>
      <c r="E80" s="37"/>
      <c r="F80" s="37"/>
      <c r="G80" s="37"/>
      <c r="H80" s="38"/>
    </row>
    <row r="81" spans="1:8" ht="22.05" customHeight="1" x14ac:dyDescent="0.3">
      <c r="A81" s="44" t="s">
        <v>190</v>
      </c>
      <c r="B81" s="29"/>
      <c r="C81" s="29"/>
      <c r="D81" s="29"/>
      <c r="E81" s="29"/>
      <c r="F81" s="29"/>
      <c r="G81" s="29"/>
      <c r="H81" s="29"/>
    </row>
    <row r="82" spans="1:8" ht="30" customHeight="1" x14ac:dyDescent="0.3">
      <c r="A82" s="36" t="s">
        <v>191</v>
      </c>
      <c r="B82" s="37"/>
      <c r="C82" s="37"/>
      <c r="D82" s="37"/>
      <c r="E82" s="37"/>
      <c r="F82" s="37"/>
      <c r="G82" s="37"/>
      <c r="H82" s="38"/>
    </row>
    <row r="83" spans="1:8" ht="30" customHeight="1" x14ac:dyDescent="0.3">
      <c r="A83" s="36" t="s">
        <v>192</v>
      </c>
      <c r="B83" s="37"/>
      <c r="C83" s="37"/>
      <c r="D83" s="37"/>
      <c r="E83" s="37"/>
      <c r="F83" s="37"/>
      <c r="G83" s="37"/>
      <c r="H83" s="38"/>
    </row>
    <row r="84" spans="1:8" ht="30" customHeight="1" x14ac:dyDescent="0.3">
      <c r="A84" s="36" t="s">
        <v>193</v>
      </c>
      <c r="B84" s="37"/>
      <c r="C84" s="37"/>
      <c r="D84" s="37"/>
      <c r="E84" s="37"/>
      <c r="F84" s="37"/>
      <c r="G84" s="37"/>
      <c r="H84" s="38"/>
    </row>
    <row r="85" spans="1:8" ht="30" customHeight="1" x14ac:dyDescent="0.3">
      <c r="A85" s="36" t="s">
        <v>194</v>
      </c>
      <c r="B85" s="37"/>
      <c r="C85" s="37"/>
      <c r="D85" s="37"/>
      <c r="E85" s="37"/>
      <c r="F85" s="37"/>
      <c r="G85" s="37"/>
      <c r="H85" s="38"/>
    </row>
    <row r="87" spans="1:8" ht="15.6" x14ac:dyDescent="0.3">
      <c r="A87" s="47" t="s">
        <v>195</v>
      </c>
      <c r="B87" s="29"/>
      <c r="C87" s="29"/>
      <c r="D87" s="29"/>
      <c r="E87" s="29"/>
      <c r="F87" s="29"/>
      <c r="G87" s="29"/>
      <c r="H87" s="29"/>
    </row>
    <row r="88" spans="1:8" ht="30" customHeight="1" x14ac:dyDescent="0.3">
      <c r="A88" s="36" t="s">
        <v>196</v>
      </c>
      <c r="B88" s="37"/>
      <c r="C88" s="37"/>
      <c r="D88" s="37"/>
      <c r="E88" s="37"/>
      <c r="F88" s="37"/>
      <c r="G88" s="37"/>
      <c r="H88" s="38"/>
    </row>
    <row r="89" spans="1:8" ht="30" customHeight="1" x14ac:dyDescent="0.3">
      <c r="A89" s="36" t="s">
        <v>197</v>
      </c>
      <c r="B89" s="37"/>
      <c r="C89" s="37"/>
      <c r="D89" s="37"/>
      <c r="E89" s="37"/>
      <c r="F89" s="37"/>
      <c r="G89" s="37"/>
      <c r="H89" s="38"/>
    </row>
    <row r="90" spans="1:8" ht="30" customHeight="1" x14ac:dyDescent="0.3">
      <c r="A90" s="36" t="s">
        <v>198</v>
      </c>
      <c r="B90" s="37"/>
      <c r="C90" s="37"/>
      <c r="D90" s="37"/>
      <c r="E90" s="37"/>
      <c r="F90" s="37"/>
      <c r="G90" s="37"/>
      <c r="H90" s="38"/>
    </row>
    <row r="91" spans="1:8" ht="30" customHeight="1" x14ac:dyDescent="0.3">
      <c r="A91" s="36" t="s">
        <v>199</v>
      </c>
      <c r="B91" s="37"/>
      <c r="C91" s="37"/>
      <c r="D91" s="37"/>
      <c r="E91" s="37"/>
      <c r="F91" s="37"/>
      <c r="G91" s="37"/>
      <c r="H91" s="38"/>
    </row>
    <row r="92" spans="1:8" ht="30" customHeight="1" x14ac:dyDescent="0.3">
      <c r="A92" s="36" t="s">
        <v>200</v>
      </c>
      <c r="B92" s="37"/>
      <c r="C92" s="37"/>
      <c r="D92" s="37"/>
      <c r="E92" s="37"/>
      <c r="F92" s="37"/>
      <c r="G92" s="37"/>
      <c r="H92" s="38"/>
    </row>
    <row r="93" spans="1:8" ht="30" customHeight="1" x14ac:dyDescent="0.3">
      <c r="A93" s="36" t="s">
        <v>201</v>
      </c>
      <c r="B93" s="37"/>
      <c r="C93" s="37"/>
      <c r="D93" s="37"/>
      <c r="E93" s="37"/>
      <c r="F93" s="37"/>
      <c r="G93" s="37"/>
      <c r="H93" s="38"/>
    </row>
    <row r="94" spans="1:8" ht="30" customHeight="1" x14ac:dyDescent="0.3">
      <c r="A94" s="36" t="s">
        <v>202</v>
      </c>
      <c r="B94" s="37"/>
      <c r="C94" s="37"/>
      <c r="D94" s="37"/>
      <c r="E94" s="37"/>
      <c r="F94" s="37"/>
      <c r="G94" s="37"/>
      <c r="H94" s="38"/>
    </row>
    <row r="95" spans="1:8" ht="15.6" x14ac:dyDescent="0.3">
      <c r="A95" s="47" t="s">
        <v>203</v>
      </c>
      <c r="B95" s="29"/>
      <c r="C95" s="29"/>
      <c r="D95" s="29"/>
      <c r="E95" s="29"/>
      <c r="F95" s="29"/>
      <c r="G95" s="29"/>
      <c r="H95" s="29"/>
    </row>
    <row r="96" spans="1:8" ht="30" customHeight="1" x14ac:dyDescent="0.3">
      <c r="A96" s="36" t="s">
        <v>204</v>
      </c>
      <c r="B96" s="37"/>
      <c r="C96" s="37"/>
      <c r="D96" s="37"/>
      <c r="E96" s="37"/>
      <c r="F96" s="37"/>
      <c r="G96" s="37"/>
      <c r="H96" s="38"/>
    </row>
    <row r="97" spans="1:8" ht="30" customHeight="1" x14ac:dyDescent="0.3">
      <c r="A97" s="36" t="s">
        <v>205</v>
      </c>
      <c r="B97" s="37"/>
      <c r="C97" s="37"/>
      <c r="D97" s="37"/>
      <c r="E97" s="37"/>
      <c r="F97" s="37"/>
      <c r="G97" s="37"/>
      <c r="H97" s="38"/>
    </row>
    <row r="98" spans="1:8" ht="30" customHeight="1" x14ac:dyDescent="0.3">
      <c r="A98" s="36" t="s">
        <v>206</v>
      </c>
      <c r="B98" s="37"/>
      <c r="C98" s="37"/>
      <c r="D98" s="37"/>
      <c r="E98" s="37"/>
      <c r="F98" s="37"/>
      <c r="G98" s="37"/>
      <c r="H98" s="38"/>
    </row>
    <row r="99" spans="1:8" ht="30" customHeight="1" x14ac:dyDescent="0.3">
      <c r="A99" s="36" t="s">
        <v>207</v>
      </c>
      <c r="B99" s="37"/>
      <c r="C99" s="37"/>
      <c r="D99" s="37"/>
      <c r="E99" s="37"/>
      <c r="F99" s="37"/>
      <c r="G99" s="37"/>
      <c r="H99" s="38"/>
    </row>
    <row r="100" spans="1:8" ht="30" customHeight="1" x14ac:dyDescent="0.3">
      <c r="A100" s="36" t="s">
        <v>208</v>
      </c>
      <c r="B100" s="37"/>
      <c r="C100" s="37"/>
      <c r="D100" s="37"/>
      <c r="E100" s="37"/>
      <c r="F100" s="37"/>
      <c r="G100" s="37"/>
      <c r="H100" s="38"/>
    </row>
    <row r="101" spans="1:8" ht="15.6" x14ac:dyDescent="0.3">
      <c r="A101" s="47" t="s">
        <v>209</v>
      </c>
      <c r="B101" s="29"/>
      <c r="C101" s="29"/>
      <c r="D101" s="29"/>
      <c r="E101" s="29"/>
      <c r="F101" s="29"/>
      <c r="G101" s="29"/>
      <c r="H101" s="29"/>
    </row>
    <row r="102" spans="1:8" ht="30" customHeight="1" x14ac:dyDescent="0.3">
      <c r="A102" s="36" t="s">
        <v>210</v>
      </c>
      <c r="B102" s="37"/>
      <c r="C102" s="37"/>
      <c r="D102" s="37"/>
      <c r="E102" s="37"/>
      <c r="F102" s="37"/>
      <c r="G102" s="37"/>
      <c r="H102" s="38"/>
    </row>
    <row r="103" spans="1:8" ht="30" customHeight="1" x14ac:dyDescent="0.3">
      <c r="A103" s="36" t="s">
        <v>211</v>
      </c>
      <c r="B103" s="37"/>
      <c r="C103" s="37"/>
      <c r="D103" s="37"/>
      <c r="E103" s="37"/>
      <c r="F103" s="37"/>
      <c r="G103" s="37"/>
      <c r="H103" s="38"/>
    </row>
    <row r="104" spans="1:8" ht="30" customHeight="1" x14ac:dyDescent="0.3">
      <c r="A104" s="36" t="s">
        <v>212</v>
      </c>
      <c r="B104" s="37"/>
      <c r="C104" s="37"/>
      <c r="D104" s="37"/>
      <c r="E104" s="37"/>
      <c r="F104" s="37"/>
      <c r="G104" s="37"/>
      <c r="H104" s="38"/>
    </row>
    <row r="106" spans="1:8" ht="37.950000000000003" customHeight="1" x14ac:dyDescent="0.3">
      <c r="A106" s="36" t="s">
        <v>213</v>
      </c>
      <c r="B106" s="37"/>
      <c r="C106" s="37"/>
      <c r="D106" s="37"/>
      <c r="E106" s="37"/>
      <c r="F106" s="37"/>
      <c r="G106" s="37"/>
      <c r="H106" s="38"/>
    </row>
    <row r="108" spans="1:8" ht="15.6" x14ac:dyDescent="0.3">
      <c r="A108" s="47" t="s">
        <v>214</v>
      </c>
      <c r="B108" s="29"/>
      <c r="C108" s="29"/>
      <c r="D108" s="29"/>
      <c r="E108" s="29"/>
      <c r="F108" s="29"/>
      <c r="G108" s="29"/>
      <c r="H108" s="29"/>
    </row>
    <row r="109" spans="1:8" x14ac:dyDescent="0.3">
      <c r="A109" s="46" t="s">
        <v>215</v>
      </c>
      <c r="B109" s="29"/>
      <c r="C109" s="29"/>
      <c r="D109" s="29"/>
      <c r="E109" s="29"/>
      <c r="F109" s="29"/>
      <c r="G109" s="29"/>
      <c r="H109" s="29"/>
    </row>
    <row r="110" spans="1:8" x14ac:dyDescent="0.3">
      <c r="A110" s="46" t="s">
        <v>216</v>
      </c>
      <c r="B110" s="29"/>
      <c r="C110" s="29"/>
      <c r="D110" s="29"/>
      <c r="E110" s="29"/>
      <c r="F110" s="29"/>
      <c r="G110" s="29"/>
      <c r="H110" s="29"/>
    </row>
    <row r="111" spans="1:8" x14ac:dyDescent="0.3">
      <c r="A111" s="46" t="s">
        <v>217</v>
      </c>
      <c r="B111" s="29"/>
      <c r="C111" s="29"/>
      <c r="D111" s="29"/>
      <c r="E111" s="29"/>
      <c r="F111" s="29"/>
      <c r="G111" s="29"/>
      <c r="H111" s="29"/>
    </row>
    <row r="112" spans="1:8" x14ac:dyDescent="0.3">
      <c r="A112" s="46" t="s">
        <v>218</v>
      </c>
      <c r="B112" s="29"/>
      <c r="C112" s="29"/>
      <c r="D112" s="29"/>
      <c r="E112" s="29"/>
      <c r="F112" s="29"/>
      <c r="G112" s="29"/>
      <c r="H112" s="29"/>
    </row>
  </sheetData>
  <mergeCells count="114">
    <mergeCell ref="A1:H2"/>
    <mergeCell ref="A4:H4"/>
    <mergeCell ref="A20:B20"/>
    <mergeCell ref="A91:H91"/>
    <mergeCell ref="A43:H43"/>
    <mergeCell ref="A52:H52"/>
    <mergeCell ref="A93:H93"/>
    <mergeCell ref="A87:H87"/>
    <mergeCell ref="A65:H65"/>
    <mergeCell ref="A80:H80"/>
    <mergeCell ref="A18:B18"/>
    <mergeCell ref="A37:H37"/>
    <mergeCell ref="A46:H46"/>
    <mergeCell ref="A89:H89"/>
    <mergeCell ref="A12:H12"/>
    <mergeCell ref="A57:H57"/>
    <mergeCell ref="A14:H14"/>
    <mergeCell ref="C18:H18"/>
    <mergeCell ref="A23:H23"/>
    <mergeCell ref="C17:H17"/>
    <mergeCell ref="A74:H74"/>
    <mergeCell ref="A56:H56"/>
    <mergeCell ref="A21:B21"/>
    <mergeCell ref="A26:H26"/>
    <mergeCell ref="A71:H71"/>
    <mergeCell ref="A76:H76"/>
    <mergeCell ref="A33:H33"/>
    <mergeCell ref="A8:H8"/>
    <mergeCell ref="A53:H53"/>
    <mergeCell ref="A35:H35"/>
    <mergeCell ref="A63:H63"/>
    <mergeCell ref="A10:H10"/>
    <mergeCell ref="A68:H68"/>
    <mergeCell ref="C20:H20"/>
    <mergeCell ref="A34:H34"/>
    <mergeCell ref="A9:H9"/>
    <mergeCell ref="A39:H39"/>
    <mergeCell ref="A36:H36"/>
    <mergeCell ref="A11:H11"/>
    <mergeCell ref="A45:H45"/>
    <mergeCell ref="C21:H21"/>
    <mergeCell ref="A16:B16"/>
    <mergeCell ref="A62:H62"/>
    <mergeCell ref="A72:H72"/>
    <mergeCell ref="A28:H28"/>
    <mergeCell ref="A112:H112"/>
    <mergeCell ref="A48:H48"/>
    <mergeCell ref="A30:H30"/>
    <mergeCell ref="A59:H59"/>
    <mergeCell ref="A64:H64"/>
    <mergeCell ref="A98:H98"/>
    <mergeCell ref="A79:H79"/>
    <mergeCell ref="A61:H61"/>
    <mergeCell ref="A88:H88"/>
    <mergeCell ref="A70:H70"/>
    <mergeCell ref="A54:H54"/>
    <mergeCell ref="A41:H41"/>
    <mergeCell ref="A90:H90"/>
    <mergeCell ref="A100:H100"/>
    <mergeCell ref="A109:H109"/>
    <mergeCell ref="A102:H102"/>
    <mergeCell ref="A111:H111"/>
    <mergeCell ref="A92:H92"/>
    <mergeCell ref="A94:H94"/>
    <mergeCell ref="A103:H103"/>
    <mergeCell ref="A78:H78"/>
    <mergeCell ref="A5:H5"/>
    <mergeCell ref="A32:H32"/>
    <mergeCell ref="A97:H97"/>
    <mergeCell ref="C15:H15"/>
    <mergeCell ref="A106:H106"/>
    <mergeCell ref="A29:H29"/>
    <mergeCell ref="A81:H81"/>
    <mergeCell ref="A19:B19"/>
    <mergeCell ref="A38:H38"/>
    <mergeCell ref="A96:H96"/>
    <mergeCell ref="A13:H13"/>
    <mergeCell ref="A44:H44"/>
    <mergeCell ref="A31:H31"/>
    <mergeCell ref="A58:H58"/>
    <mergeCell ref="A40:H40"/>
    <mergeCell ref="A67:H67"/>
    <mergeCell ref="C16:H16"/>
    <mergeCell ref="A24:H24"/>
    <mergeCell ref="A73:H73"/>
    <mergeCell ref="A51:H51"/>
    <mergeCell ref="A82:H82"/>
    <mergeCell ref="A60:H60"/>
    <mergeCell ref="A7:H7"/>
    <mergeCell ref="A99:H99"/>
    <mergeCell ref="A77:H77"/>
    <mergeCell ref="A15:B15"/>
    <mergeCell ref="A83:H83"/>
    <mergeCell ref="A49:H49"/>
    <mergeCell ref="A110:H110"/>
    <mergeCell ref="A6:H6"/>
    <mergeCell ref="A69:H69"/>
    <mergeCell ref="A25:H25"/>
    <mergeCell ref="A66:H66"/>
    <mergeCell ref="A75:H75"/>
    <mergeCell ref="A50:H50"/>
    <mergeCell ref="A55:H55"/>
    <mergeCell ref="A95:H95"/>
    <mergeCell ref="A104:H104"/>
    <mergeCell ref="A17:B17"/>
    <mergeCell ref="A108:H108"/>
    <mergeCell ref="A84:H84"/>
    <mergeCell ref="A27:H27"/>
    <mergeCell ref="A101:H101"/>
    <mergeCell ref="C19:H19"/>
    <mergeCell ref="A85:H85"/>
    <mergeCell ref="A42:H42"/>
    <mergeCell ref="A47:H47"/>
    <mergeCell ref="A22:H2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0011"/>
    <outlinePr summaryBelow="0"/>
    <pageSetUpPr fitToPage="1"/>
  </sheetPr>
  <dimension ref="A1:V59"/>
  <sheetViews>
    <sheetView showGridLines="0" workbookViewId="0">
      <pane ySplit="3" topLeftCell="A41" activePane="bottomLeft" state="frozen"/>
      <selection pane="bottomLeft" activeCell="F4" sqref="F4"/>
    </sheetView>
  </sheetViews>
  <sheetFormatPr defaultRowHeight="14.4" outlineLevelRow="1" x14ac:dyDescent="0.3"/>
  <cols>
    <col min="1" max="1" width="10" customWidth="1"/>
    <col min="2" max="2" width="20" customWidth="1"/>
    <col min="3" max="3" width="38" customWidth="1"/>
    <col min="4" max="4" width="30" customWidth="1"/>
    <col min="5" max="5" width="24" customWidth="1"/>
    <col min="6" max="7" width="15" customWidth="1"/>
    <col min="8" max="8" width="18" customWidth="1"/>
    <col min="9" max="10" width="15" customWidth="1"/>
    <col min="11" max="11" width="18" customWidth="1"/>
    <col min="12" max="13" width="15" customWidth="1"/>
    <col min="14" max="14" width="18" customWidth="1"/>
    <col min="15" max="15" width="50" customWidth="1"/>
    <col min="16" max="17" width="15" customWidth="1"/>
    <col min="18" max="18" width="18" customWidth="1"/>
    <col min="19" max="19" width="50" customWidth="1"/>
    <col min="20" max="20" width="30" customWidth="1"/>
    <col min="21" max="22" width="35" customWidth="1"/>
  </cols>
  <sheetData>
    <row r="1" spans="1:22" x14ac:dyDescent="0.3">
      <c r="A1" s="49" t="s">
        <v>219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ht="28.8" x14ac:dyDescent="0.3">
      <c r="A3" s="7" t="s">
        <v>220</v>
      </c>
      <c r="B3" s="7" t="s">
        <v>221</v>
      </c>
      <c r="C3" s="7" t="s">
        <v>222</v>
      </c>
      <c r="D3" s="7" t="s">
        <v>26</v>
      </c>
      <c r="E3" s="7" t="s">
        <v>223</v>
      </c>
      <c r="F3" s="7" t="s">
        <v>224</v>
      </c>
      <c r="G3" s="7" t="s">
        <v>225</v>
      </c>
      <c r="H3" s="7" t="s">
        <v>226</v>
      </c>
      <c r="I3" s="7" t="s">
        <v>227</v>
      </c>
      <c r="J3" s="7" t="s">
        <v>228</v>
      </c>
      <c r="K3" s="7" t="s">
        <v>229</v>
      </c>
      <c r="L3" s="7" t="s">
        <v>230</v>
      </c>
      <c r="M3" s="7" t="s">
        <v>231</v>
      </c>
      <c r="N3" s="7" t="s">
        <v>232</v>
      </c>
      <c r="O3" s="7" t="s">
        <v>233</v>
      </c>
      <c r="P3" s="7" t="s">
        <v>30</v>
      </c>
      <c r="Q3" s="7" t="s">
        <v>234</v>
      </c>
      <c r="R3" s="7" t="s">
        <v>235</v>
      </c>
      <c r="S3" s="7" t="s">
        <v>236</v>
      </c>
      <c r="T3" s="7" t="s">
        <v>237</v>
      </c>
      <c r="U3" s="7" t="s">
        <v>238</v>
      </c>
      <c r="V3" s="7" t="s">
        <v>239</v>
      </c>
    </row>
    <row r="4" spans="1:22" ht="28.8" x14ac:dyDescent="0.3">
      <c r="A4" s="12" t="s">
        <v>31</v>
      </c>
      <c r="B4" s="5" t="s">
        <v>240</v>
      </c>
      <c r="C4" s="12" t="s">
        <v>32</v>
      </c>
      <c r="D4" s="5" t="s">
        <v>34</v>
      </c>
      <c r="E4" s="8"/>
      <c r="F4" s="13">
        <f>IF(COUNT(F5:F7)=0,"",MIN(F5:F7))</f>
        <v>46239</v>
      </c>
      <c r="G4" s="13" t="str">
        <f>IF(COUNT(G5:G7)=0,"",MAX(G5:G7))</f>
        <v/>
      </c>
      <c r="H4" s="14" t="str">
        <f>IF(OR(F4="",G4=""),"",NETWORKDAYS.INTL(F4,G4,1,'Schedule Calendar'!$H$6:$H$30))</f>
        <v/>
      </c>
      <c r="I4" s="13" t="str">
        <f>IF(COUNT(I5:I7)=0,"",MIN(I5:I7))</f>
        <v/>
      </c>
      <c r="J4" s="13"/>
      <c r="K4" s="14" t="str">
        <f>IF(OR(I4="",J4=""),"",NETWORKDAYS.INTL(I4,J4,1,'Schedule Calendar'!$H$6:$H$30))</f>
        <v/>
      </c>
      <c r="L4" s="13">
        <f>IFERROR(MIN(L5:L7),"")</f>
        <v>46239</v>
      </c>
      <c r="M4" s="13">
        <f>IFERROR(MAX(M5:M7),"")</f>
        <v>46289</v>
      </c>
      <c r="N4" s="14">
        <f>IF(OR(L4="",M4=""),"",NETWORKDAYS.INTL(L4,M4,1,'Schedule Calendar'!$H$6:$H$30))</f>
        <v>37</v>
      </c>
      <c r="O4" s="5" t="s">
        <v>241</v>
      </c>
      <c r="P4" s="5" t="s">
        <v>242</v>
      </c>
      <c r="Q4" s="5" t="str">
        <f>IF(COUNTIF(Q5:Q7,"Yes")&gt;0,"Yes","No")</f>
        <v>Yes</v>
      </c>
      <c r="R4" s="8" t="str">
        <f>IF(COUNTIF(R5:R7,"Yes")&gt;0,"Yes","No")</f>
        <v>Yes</v>
      </c>
      <c r="S4" s="8" t="s">
        <v>243</v>
      </c>
      <c r="T4" s="8" t="s">
        <v>244</v>
      </c>
      <c r="U4" s="5" t="s">
        <v>245</v>
      </c>
      <c r="V4" s="5" t="s">
        <v>246</v>
      </c>
    </row>
    <row r="5" spans="1:22" ht="28.8" outlineLevel="1" x14ac:dyDescent="0.3">
      <c r="A5" s="10" t="s">
        <v>247</v>
      </c>
      <c r="B5" s="1" t="s">
        <v>240</v>
      </c>
      <c r="C5" s="1" t="s">
        <v>248</v>
      </c>
      <c r="D5" s="1" t="s">
        <v>34</v>
      </c>
      <c r="E5" s="8"/>
      <c r="F5" s="15">
        <v>46239</v>
      </c>
      <c r="G5" s="15" t="s">
        <v>249</v>
      </c>
      <c r="H5" s="16">
        <f>IF(OR(F5="",G5=""),"",NETWORKDAYS.INTL(F5,G5,1,'Schedule Calendar'!$H$6:$H$30))</f>
        <v>11</v>
      </c>
      <c r="I5" s="15"/>
      <c r="J5" s="15"/>
      <c r="K5" s="16" t="str">
        <f>IF(OR(I5="",J5=""),"",NETWORKDAYS.INTL(I5,J5,1,'Schedule Calendar'!$H$6:$H$30))</f>
        <v/>
      </c>
      <c r="L5" s="15">
        <f>IF(I5&lt;&gt;"",I5,F5)</f>
        <v>46239</v>
      </c>
      <c r="M5" s="15">
        <f>IF(J5&lt;&gt;"",J5,IF(OR(L5="",H5=""),"",WORKDAY(L5,H5-1,'Schedule Calendar'!$H$6:$H$30)))</f>
        <v>46253</v>
      </c>
      <c r="N5" s="16">
        <f>IF(OR(L5="",M5=""),"",NETWORKDAYS.INTL(L5,M5,1,'Schedule Calendar'!$H$6:$H$30))</f>
        <v>11</v>
      </c>
      <c r="O5" s="1" t="s">
        <v>250</v>
      </c>
      <c r="P5" s="1" t="s">
        <v>38</v>
      </c>
      <c r="Q5" s="1" t="s">
        <v>36</v>
      </c>
      <c r="R5" s="8" t="s">
        <v>36</v>
      </c>
      <c r="S5" s="8" t="s">
        <v>251</v>
      </c>
      <c r="T5" s="8" t="s">
        <v>252</v>
      </c>
      <c r="U5" s="1"/>
      <c r="V5" s="1"/>
    </row>
    <row r="6" spans="1:22" ht="28.8" outlineLevel="1" x14ac:dyDescent="0.3">
      <c r="A6" s="10" t="s">
        <v>253</v>
      </c>
      <c r="B6" s="1" t="s">
        <v>240</v>
      </c>
      <c r="C6" s="1" t="s">
        <v>254</v>
      </c>
      <c r="D6" s="1" t="s">
        <v>34</v>
      </c>
      <c r="E6" s="8" t="s">
        <v>247</v>
      </c>
      <c r="F6" s="15">
        <v>46239</v>
      </c>
      <c r="G6" s="15" t="s">
        <v>255</v>
      </c>
      <c r="H6" s="16">
        <f>IF(OR(F6="",G6=""),"",NETWORKDAYS.INTL(F6,G6,1,'Schedule Calendar'!$H$6:$H$30))</f>
        <v>13</v>
      </c>
      <c r="I6" s="15"/>
      <c r="J6" s="15"/>
      <c r="K6" s="16" t="str">
        <f>IF(OR(I6="",J6=""),"",NETWORKDAYS.INTL(I6,J6,1,'Schedule Calendar'!$H$6:$H$30))</f>
        <v/>
      </c>
      <c r="L6" s="15">
        <f>IF(I6&lt;&gt;"",I6,MAX(F6,WORKDAY(MAX(M5),1,'Schedule Calendar'!$H$6:$H$30)))</f>
        <v>46254</v>
      </c>
      <c r="M6" s="15">
        <f>IF(J6&lt;&gt;"",J6,IF(OR(L6="",H6=""),"",WORKDAY(L6,H6-1,'Schedule Calendar'!$H$6:$H$30)))</f>
        <v>46272</v>
      </c>
      <c r="N6" s="16">
        <f>IF(OR(L6="",M6=""),"",NETWORKDAYS.INTL(L6,M6,1,'Schedule Calendar'!$H$6:$H$30))</f>
        <v>13</v>
      </c>
      <c r="O6" s="1" t="s">
        <v>256</v>
      </c>
      <c r="P6" s="1" t="s">
        <v>38</v>
      </c>
      <c r="Q6" s="1" t="s">
        <v>36</v>
      </c>
      <c r="R6" s="8" t="s">
        <v>36</v>
      </c>
      <c r="S6" s="8" t="s">
        <v>257</v>
      </c>
      <c r="T6" s="8" t="s">
        <v>252</v>
      </c>
      <c r="U6" s="1"/>
      <c r="V6" s="1"/>
    </row>
    <row r="7" spans="1:22" ht="28.8" outlineLevel="1" x14ac:dyDescent="0.3">
      <c r="A7" s="10" t="s">
        <v>258</v>
      </c>
      <c r="B7" s="1" t="s">
        <v>240</v>
      </c>
      <c r="C7" s="1" t="s">
        <v>259</v>
      </c>
      <c r="D7" s="1" t="s">
        <v>34</v>
      </c>
      <c r="E7" s="8" t="s">
        <v>260</v>
      </c>
      <c r="F7" s="15">
        <v>46239</v>
      </c>
      <c r="G7" s="15" t="s">
        <v>255</v>
      </c>
      <c r="H7" s="16">
        <f>IF(OR(F7="",G7=""),"",NETWORKDAYS.INTL(F7,G7,1,'Schedule Calendar'!$H$6:$H$30))</f>
        <v>13</v>
      </c>
      <c r="I7" s="15"/>
      <c r="J7" s="15"/>
      <c r="K7" s="16" t="str">
        <f>IF(OR(I7="",J7=""),"",NETWORKDAYS.INTL(I7,J7,1,'Schedule Calendar'!$H$6:$H$30))</f>
        <v/>
      </c>
      <c r="L7" s="15">
        <f>IF(I7&lt;&gt;"",I7,MAX(F7,WORKDAY(MAX(M5,M6),1,'Schedule Calendar'!$H$6:$H$30)))</f>
        <v>46273</v>
      </c>
      <c r="M7" s="15">
        <f>IF(J7&lt;&gt;"",J7,IF(OR(L7="",H7=""),"",WORKDAY(L7,H7-1,'Schedule Calendar'!$H$6:$H$30)))</f>
        <v>46289</v>
      </c>
      <c r="N7" s="16">
        <f>IF(OR(L7="",M7=""),"",NETWORKDAYS.INTL(L7,M7,1,'Schedule Calendar'!$H$6:$H$30))</f>
        <v>13</v>
      </c>
      <c r="O7" s="1" t="s">
        <v>261</v>
      </c>
      <c r="P7" s="1" t="s">
        <v>38</v>
      </c>
      <c r="Q7" s="1" t="s">
        <v>36</v>
      </c>
      <c r="R7" s="8" t="s">
        <v>262</v>
      </c>
      <c r="S7" s="8" t="s">
        <v>263</v>
      </c>
      <c r="T7" s="8" t="s">
        <v>252</v>
      </c>
      <c r="U7" s="1"/>
      <c r="V7" s="1"/>
    </row>
    <row r="8" spans="1:22" ht="28.8" x14ac:dyDescent="0.3">
      <c r="A8" s="12" t="s">
        <v>39</v>
      </c>
      <c r="B8" s="5" t="s">
        <v>264</v>
      </c>
      <c r="C8" s="12" t="s">
        <v>40</v>
      </c>
      <c r="D8" s="5" t="s">
        <v>42</v>
      </c>
      <c r="E8" s="8" t="s">
        <v>31</v>
      </c>
      <c r="F8" s="13" t="str">
        <f>IF(COUNT(F9:F14)=0,"",MIN(F9:F14))</f>
        <v/>
      </c>
      <c r="G8" s="13" t="str">
        <f>IF(COUNT(G9:G14)=0,"",MAX(G9:G14))</f>
        <v/>
      </c>
      <c r="H8" s="14" t="str">
        <f>IF(OR(F8="",G8=""),"",NETWORKDAYS.INTL(F8,G8,1,'Schedule Calendar'!$H$6:$H$30))</f>
        <v/>
      </c>
      <c r="I8" s="13" t="str">
        <f>IF(COUNT(I9:I14)=0,"",MIN(I9:I14))</f>
        <v/>
      </c>
      <c r="J8" s="13"/>
      <c r="K8" s="14" t="str">
        <f>IF(OR(I8="",J8=""),"",NETWORKDAYS.INTL(I8,J8,1,'Schedule Calendar'!$H$6:$H$30))</f>
        <v/>
      </c>
      <c r="L8" s="13">
        <f>IFERROR(MIN(L9:L14),"")</f>
        <v>46290</v>
      </c>
      <c r="M8" s="13">
        <f>IFERROR(MAX(M9:M14),"")</f>
        <v>46323</v>
      </c>
      <c r="N8" s="14">
        <f>IF(OR(L8="",M8=""),"",NETWORKDAYS.INTL(L8,M8,1,'Schedule Calendar'!$H$6:$H$30))</f>
        <v>24</v>
      </c>
      <c r="O8" s="5" t="s">
        <v>241</v>
      </c>
      <c r="P8" s="5" t="str">
        <f>IF(COUNTIF(P9:P14,"Red")&gt;0,"Red",IF(COUNTIF(P9:P14,"Amber")&gt;0,"Amber",IF(COUNTIF(P9:P14,"Blocked")&gt;0,"Blocked",IF(COUNTIF(P9:P14,"Complete")=ROWS(P9:P14),"Complete",IF(COUNTIF(P9:P14,"Green")&gt;0,"Green","Not Started")))))</f>
        <v>Not Started</v>
      </c>
      <c r="Q8" s="5" t="str">
        <f>IF(COUNTIF(Q9:Q14,"Yes")&gt;0,"Yes","No")</f>
        <v>Yes</v>
      </c>
      <c r="R8" s="8" t="str">
        <f>IF(COUNTIF(R9:R14,"Yes")&gt;0,"Yes","No")</f>
        <v>Yes</v>
      </c>
      <c r="S8" s="8" t="s">
        <v>243</v>
      </c>
      <c r="T8" s="8" t="s">
        <v>244</v>
      </c>
      <c r="U8" s="5"/>
      <c r="V8" s="5"/>
    </row>
    <row r="9" spans="1:22" ht="28.8" outlineLevel="1" x14ac:dyDescent="0.3">
      <c r="A9" s="10" t="s">
        <v>265</v>
      </c>
      <c r="B9" s="1" t="s">
        <v>264</v>
      </c>
      <c r="C9" s="1" t="s">
        <v>266</v>
      </c>
      <c r="D9" s="1" t="s">
        <v>267</v>
      </c>
      <c r="E9" s="8" t="s">
        <v>31</v>
      </c>
      <c r="F9" s="15" t="s">
        <v>268</v>
      </c>
      <c r="G9" s="15" t="s">
        <v>269</v>
      </c>
      <c r="H9" s="16">
        <f>IF(OR(F9="",G9=""),"",NETWORKDAYS.INTL(F9,G9,1,'Schedule Calendar'!$H$6:$H$30))</f>
        <v>5</v>
      </c>
      <c r="I9" s="15"/>
      <c r="J9" s="15"/>
      <c r="K9" s="16" t="str">
        <f>IF(OR(I9="",J9=""),"",NETWORKDAYS.INTL(I9,J9,1,'Schedule Calendar'!$H$6:$H$30))</f>
        <v/>
      </c>
      <c r="L9" s="15">
        <f>IF(I9&lt;&gt;"",I9,MAX(F9,WORKDAY(MAX(M4),1,'Schedule Calendar'!$H$6:$H$30)))</f>
        <v>46290</v>
      </c>
      <c r="M9" s="15">
        <f>IF(J9&lt;&gt;"",J9,IF(OR(L9="",H9=""),"",WORKDAY(L9,H9-1,'Schedule Calendar'!$H$6:$H$30)))</f>
        <v>46296</v>
      </c>
      <c r="N9" s="16">
        <f>IF(OR(L9="",M9=""),"",NETWORKDAYS.INTL(L9,M9,1,'Schedule Calendar'!$H$6:$H$30))</f>
        <v>5</v>
      </c>
      <c r="O9" s="1" t="s">
        <v>270</v>
      </c>
      <c r="P9" s="1" t="s">
        <v>38</v>
      </c>
      <c r="Q9" s="1" t="s">
        <v>36</v>
      </c>
      <c r="R9" s="8" t="s">
        <v>36</v>
      </c>
      <c r="S9" s="8" t="s">
        <v>271</v>
      </c>
      <c r="T9" s="8" t="s">
        <v>252</v>
      </c>
      <c r="U9" s="1"/>
      <c r="V9" s="1"/>
    </row>
    <row r="10" spans="1:22" ht="28.8" outlineLevel="1" x14ac:dyDescent="0.3">
      <c r="A10" s="10" t="s">
        <v>272</v>
      </c>
      <c r="B10" s="1" t="s">
        <v>264</v>
      </c>
      <c r="C10" s="1" t="s">
        <v>273</v>
      </c>
      <c r="D10" s="1" t="s">
        <v>267</v>
      </c>
      <c r="E10" s="8" t="s">
        <v>265</v>
      </c>
      <c r="F10" s="15" t="s">
        <v>268</v>
      </c>
      <c r="G10" s="15" t="s">
        <v>269</v>
      </c>
      <c r="H10" s="16">
        <f>IF(OR(F10="",G10=""),"",NETWORKDAYS.INTL(F10,G10,1,'Schedule Calendar'!$H$6:$H$30))</f>
        <v>5</v>
      </c>
      <c r="I10" s="15"/>
      <c r="J10" s="15"/>
      <c r="K10" s="16" t="str">
        <f>IF(OR(I10="",J10=""),"",NETWORKDAYS.INTL(I10,J10,1,'Schedule Calendar'!$H$6:$H$30))</f>
        <v/>
      </c>
      <c r="L10" s="15">
        <f>IF(I10&lt;&gt;"",I10,MAX(F10,WORKDAY(MAX(M9),1,'Schedule Calendar'!$H$6:$H$30)))</f>
        <v>46297</v>
      </c>
      <c r="M10" s="15">
        <f>IF(J10&lt;&gt;"",J10,IF(OR(L10="",H10=""),"",WORKDAY(L10,H10-1,'Schedule Calendar'!$H$6:$H$30)))</f>
        <v>46303</v>
      </c>
      <c r="N10" s="16">
        <f>IF(OR(L10="",M10=""),"",NETWORKDAYS.INTL(L10,M10,1,'Schedule Calendar'!$H$6:$H$30))</f>
        <v>5</v>
      </c>
      <c r="O10" s="1" t="s">
        <v>270</v>
      </c>
      <c r="P10" s="1" t="s">
        <v>38</v>
      </c>
      <c r="Q10" s="1" t="s">
        <v>36</v>
      </c>
      <c r="R10" s="8" t="s">
        <v>36</v>
      </c>
      <c r="S10" s="8" t="s">
        <v>274</v>
      </c>
      <c r="T10" s="8" t="s">
        <v>252</v>
      </c>
      <c r="U10" s="1"/>
      <c r="V10" s="1"/>
    </row>
    <row r="11" spans="1:22" outlineLevel="1" x14ac:dyDescent="0.3">
      <c r="A11" s="10" t="s">
        <v>275</v>
      </c>
      <c r="B11" s="1" t="s">
        <v>264</v>
      </c>
      <c r="C11" s="1" t="s">
        <v>276</v>
      </c>
      <c r="D11" s="1" t="s">
        <v>277</v>
      </c>
      <c r="E11" s="8" t="s">
        <v>278</v>
      </c>
      <c r="F11" s="15" t="s">
        <v>279</v>
      </c>
      <c r="G11" s="15" t="s">
        <v>280</v>
      </c>
      <c r="H11" s="16">
        <f>IF(OR(F11="",G11=""),"",NETWORKDAYS.INTL(F11,G11,1,'Schedule Calendar'!$H$6:$H$30))</f>
        <v>2</v>
      </c>
      <c r="I11" s="15"/>
      <c r="J11" s="15"/>
      <c r="K11" s="16" t="str">
        <f>IF(OR(I11="",J11=""),"",NETWORKDAYS.INTL(I11,J11,1,'Schedule Calendar'!$H$6:$H$30))</f>
        <v/>
      </c>
      <c r="L11" s="15">
        <f>IF(I11&lt;&gt;"",I11,MAX(F11,WORKDAY(MAX(M9,M10),1,'Schedule Calendar'!$H$6:$H$30)))</f>
        <v>46304</v>
      </c>
      <c r="M11" s="15">
        <f>IF(J11&lt;&gt;"",J11,IF(OR(L11="",H11=""),"",WORKDAY(L11,H11-1,'Schedule Calendar'!$H$6:$H$30)))</f>
        <v>46307</v>
      </c>
      <c r="N11" s="16">
        <f>IF(OR(L11="",M11=""),"",NETWORKDAYS.INTL(L11,M11,1,'Schedule Calendar'!$H$6:$H$30))</f>
        <v>2</v>
      </c>
      <c r="O11" s="1" t="s">
        <v>281</v>
      </c>
      <c r="P11" s="1" t="s">
        <v>38</v>
      </c>
      <c r="Q11" s="1" t="s">
        <v>36</v>
      </c>
      <c r="R11" s="8" t="s">
        <v>262</v>
      </c>
      <c r="S11" s="8" t="s">
        <v>282</v>
      </c>
      <c r="T11" s="8" t="s">
        <v>252</v>
      </c>
      <c r="U11" s="1"/>
      <c r="V11" s="1"/>
    </row>
    <row r="12" spans="1:22" outlineLevel="1" x14ac:dyDescent="0.3">
      <c r="A12" s="10" t="s">
        <v>283</v>
      </c>
      <c r="B12" s="1" t="s">
        <v>264</v>
      </c>
      <c r="C12" s="1" t="s">
        <v>284</v>
      </c>
      <c r="D12" s="1" t="s">
        <v>277</v>
      </c>
      <c r="E12" s="8" t="s">
        <v>278</v>
      </c>
      <c r="F12" s="15" t="s">
        <v>279</v>
      </c>
      <c r="G12" s="15" t="s">
        <v>285</v>
      </c>
      <c r="H12" s="16">
        <f>IF(OR(F12="",G12=""),"",NETWORKDAYS.INTL(F12,G12,1,'Schedule Calendar'!$H$6:$H$30))</f>
        <v>3</v>
      </c>
      <c r="I12" s="15"/>
      <c r="J12" s="15"/>
      <c r="K12" s="16" t="str">
        <f>IF(OR(I12="",J12=""),"",NETWORKDAYS.INTL(I12,J12,1,'Schedule Calendar'!$H$6:$H$30))</f>
        <v/>
      </c>
      <c r="L12" s="15">
        <f>IF(I12&lt;&gt;"",I12,MAX(F12,WORKDAY(MAX(M9,M10),1,'Schedule Calendar'!$H$6:$H$30)))</f>
        <v>46304</v>
      </c>
      <c r="M12" s="15">
        <f>IF(J12&lt;&gt;"",J12,IF(OR(L12="",H12=""),"",WORKDAY(L12,H12-1,'Schedule Calendar'!$H$6:$H$30)))</f>
        <v>46308</v>
      </c>
      <c r="N12" s="16">
        <f>IF(OR(L12="",M12=""),"",NETWORKDAYS.INTL(L12,M12,1,'Schedule Calendar'!$H$6:$H$30))</f>
        <v>3</v>
      </c>
      <c r="O12" s="1" t="s">
        <v>286</v>
      </c>
      <c r="P12" s="1" t="s">
        <v>38</v>
      </c>
      <c r="Q12" s="1" t="s">
        <v>36</v>
      </c>
      <c r="R12" s="8" t="s">
        <v>262</v>
      </c>
      <c r="S12" s="8" t="s">
        <v>287</v>
      </c>
      <c r="T12" s="8" t="s">
        <v>252</v>
      </c>
      <c r="U12" s="1"/>
      <c r="V12" s="1"/>
    </row>
    <row r="13" spans="1:22" outlineLevel="1" x14ac:dyDescent="0.3">
      <c r="A13" s="10" t="s">
        <v>288</v>
      </c>
      <c r="B13" s="1" t="s">
        <v>264</v>
      </c>
      <c r="C13" s="1" t="s">
        <v>289</v>
      </c>
      <c r="D13" s="1" t="s">
        <v>42</v>
      </c>
      <c r="E13" s="8" t="s">
        <v>278</v>
      </c>
      <c r="F13" s="15" t="s">
        <v>280</v>
      </c>
      <c r="G13" s="15" t="s">
        <v>290</v>
      </c>
      <c r="H13" s="16">
        <f>IF(OR(F13="",G13=""),"",NETWORKDAYS.INTL(F13,G13,1,'Schedule Calendar'!$H$6:$H$30))</f>
        <v>4</v>
      </c>
      <c r="I13" s="15"/>
      <c r="J13" s="15"/>
      <c r="K13" s="16" t="str">
        <f>IF(OR(I13="",J13=""),"",NETWORKDAYS.INTL(I13,J13,1,'Schedule Calendar'!$H$6:$H$30))</f>
        <v/>
      </c>
      <c r="L13" s="15">
        <f>IF(I13&lt;&gt;"",I13,MAX(F13,WORKDAY(MAX(M9,M10),1,'Schedule Calendar'!$H$6:$H$30)))</f>
        <v>46304</v>
      </c>
      <c r="M13" s="15">
        <f>IF(J13&lt;&gt;"",J13,IF(OR(L13="",H13=""),"",WORKDAY(L13,H13-1,'Schedule Calendar'!$H$6:$H$30)))</f>
        <v>46309</v>
      </c>
      <c r="N13" s="16">
        <f>IF(OR(L13="",M13=""),"",NETWORKDAYS.INTL(L13,M13,1,'Schedule Calendar'!$H$6:$H$30))</f>
        <v>4</v>
      </c>
      <c r="O13" s="1" t="s">
        <v>291</v>
      </c>
      <c r="P13" s="1" t="s">
        <v>38</v>
      </c>
      <c r="Q13" s="1" t="s">
        <v>36</v>
      </c>
      <c r="R13" s="8" t="s">
        <v>262</v>
      </c>
      <c r="S13" s="8" t="s">
        <v>292</v>
      </c>
      <c r="T13" s="8" t="s">
        <v>252</v>
      </c>
      <c r="U13" s="1"/>
      <c r="V13" s="1"/>
    </row>
    <row r="14" spans="1:22" ht="43.2" outlineLevel="1" x14ac:dyDescent="0.3">
      <c r="A14" s="10" t="s">
        <v>293</v>
      </c>
      <c r="B14" s="1" t="s">
        <v>264</v>
      </c>
      <c r="C14" s="1" t="s">
        <v>294</v>
      </c>
      <c r="D14" s="1" t="s">
        <v>295</v>
      </c>
      <c r="E14" s="8" t="s">
        <v>288</v>
      </c>
      <c r="F14" s="15" t="s">
        <v>268</v>
      </c>
      <c r="G14" s="15" t="s">
        <v>290</v>
      </c>
      <c r="H14" s="16">
        <f>IF(OR(F14="",G14=""),"",NETWORKDAYS.INTL(F14,G14,1,'Schedule Calendar'!$H$6:$H$30))</f>
        <v>10</v>
      </c>
      <c r="I14" s="15"/>
      <c r="J14" s="15"/>
      <c r="K14" s="16" t="str">
        <f>IF(OR(I14="",J14=""),"",NETWORKDAYS.INTL(I14,J14,1,'Schedule Calendar'!$H$6:$H$30))</f>
        <v/>
      </c>
      <c r="L14" s="15">
        <f>IF(I14&lt;&gt;"",I14,MAX(F14,WORKDAY(MAX(M13),1,'Schedule Calendar'!$H$6:$H$30)))</f>
        <v>46310</v>
      </c>
      <c r="M14" s="15">
        <f>IF(J14&lt;&gt;"",J14,IF(OR(L14="",H14=""),"",WORKDAY(L14,H14-1,'Schedule Calendar'!$H$6:$H$30)))</f>
        <v>46323</v>
      </c>
      <c r="N14" s="16">
        <f>IF(OR(L14="",M14=""),"",NETWORKDAYS.INTL(L14,M14,1,'Schedule Calendar'!$H$6:$H$30))</f>
        <v>10</v>
      </c>
      <c r="O14" s="1" t="s">
        <v>296</v>
      </c>
      <c r="P14" s="1" t="s">
        <v>38</v>
      </c>
      <c r="Q14" s="1" t="s">
        <v>36</v>
      </c>
      <c r="R14" s="8" t="s">
        <v>36</v>
      </c>
      <c r="S14" s="8" t="s">
        <v>297</v>
      </c>
      <c r="T14" s="8" t="s">
        <v>252</v>
      </c>
      <c r="U14" s="1"/>
      <c r="V14" s="1"/>
    </row>
    <row r="15" spans="1:22" ht="28.8" x14ac:dyDescent="0.3">
      <c r="A15" s="12" t="s">
        <v>45</v>
      </c>
      <c r="B15" s="5" t="s">
        <v>298</v>
      </c>
      <c r="C15" s="12" t="s">
        <v>46</v>
      </c>
      <c r="D15" s="5" t="s">
        <v>48</v>
      </c>
      <c r="E15" s="8" t="s">
        <v>39</v>
      </c>
      <c r="F15" s="13" t="str">
        <f>IF(COUNT(F16:F20)=0,"",MIN(F16:F20))</f>
        <v/>
      </c>
      <c r="G15" s="13" t="str">
        <f>IF(COUNT(G16:G20)=0,"",MAX(G16:G20))</f>
        <v/>
      </c>
      <c r="H15" s="14" t="str">
        <f>IF(OR(F15="",G15=""),"",NETWORKDAYS.INTL(F15,G15,1,'Schedule Calendar'!$H$6:$H$30))</f>
        <v/>
      </c>
      <c r="I15" s="13" t="str">
        <f>IF(COUNT(I16:I20)=0,"",MIN(I16:I20))</f>
        <v/>
      </c>
      <c r="J15" s="13"/>
      <c r="K15" s="14" t="str">
        <f>IF(OR(I15="",J15=""),"",NETWORKDAYS.INTL(I15,J15,1,'Schedule Calendar'!$H$6:$H$30))</f>
        <v/>
      </c>
      <c r="L15" s="13">
        <f>IFERROR(MIN(L16:L20),"")</f>
        <v>46324</v>
      </c>
      <c r="M15" s="13">
        <f>IFERROR(MAX(M16:M20),"")</f>
        <v>46374</v>
      </c>
      <c r="N15" s="14">
        <f>IF(OR(L15="",M15=""),"",NETWORKDAYS.INTL(L15,M15,1,'Schedule Calendar'!$H$6:$H$30))</f>
        <v>37</v>
      </c>
      <c r="O15" s="5" t="s">
        <v>241</v>
      </c>
      <c r="P15" s="5" t="str">
        <f>IF(COUNTIF(P16:P20,"Red")&gt;0,"Red",IF(COUNTIF(P16:P20,"Amber")&gt;0,"Amber",IF(COUNTIF(P16:P20,"Blocked")&gt;0,"Blocked",IF(COUNTIF(P16:P20,"Complete")=ROWS(P16:P20),"Complete",IF(COUNTIF(P16:P20,"Green")&gt;0,"Green","Not Started")))))</f>
        <v>Not Started</v>
      </c>
      <c r="Q15" s="5" t="str">
        <f>IF(COUNTIF(Q16:Q20,"Yes")&gt;0,"Yes","No")</f>
        <v>Yes</v>
      </c>
      <c r="R15" s="8" t="str">
        <f>IF(COUNTIF(R16:R20,"Yes")&gt;0,"Yes","No")</f>
        <v>Yes</v>
      </c>
      <c r="S15" s="8" t="s">
        <v>243</v>
      </c>
      <c r="T15" s="8" t="s">
        <v>244</v>
      </c>
      <c r="U15" s="5"/>
      <c r="V15" s="5"/>
    </row>
    <row r="16" spans="1:22" ht="28.8" outlineLevel="1" x14ac:dyDescent="0.3">
      <c r="A16" s="10" t="s">
        <v>299</v>
      </c>
      <c r="B16" s="1" t="s">
        <v>298</v>
      </c>
      <c r="C16" s="1" t="s">
        <v>300</v>
      </c>
      <c r="D16" s="1" t="s">
        <v>48</v>
      </c>
      <c r="E16" s="8" t="s">
        <v>39</v>
      </c>
      <c r="F16" s="15" t="s">
        <v>279</v>
      </c>
      <c r="G16" s="15" t="s">
        <v>301</v>
      </c>
      <c r="H16" s="16">
        <f>IF(OR(F16="",G16=""),"",NETWORKDAYS.INTL(F16,G16,1,'Schedule Calendar'!$H$6:$H$30))</f>
        <v>10</v>
      </c>
      <c r="I16" s="15"/>
      <c r="J16" s="15"/>
      <c r="K16" s="16" t="str">
        <f>IF(OR(I16="",J16=""),"",NETWORKDAYS.INTL(I16,J16,1,'Schedule Calendar'!$H$6:$H$30))</f>
        <v/>
      </c>
      <c r="L16" s="15">
        <f>IF(I16&lt;&gt;"",I16,MAX(F16,WORKDAY(MAX(M8),1,'Schedule Calendar'!$H$6:$H$30)))</f>
        <v>46324</v>
      </c>
      <c r="M16" s="15">
        <f>IF(J16&lt;&gt;"",J16,IF(OR(L16="",H16=""),"",WORKDAY(L16,H16-1,'Schedule Calendar'!$H$6:$H$30)))</f>
        <v>46337</v>
      </c>
      <c r="N16" s="16">
        <f>IF(OR(L16="",M16=""),"",NETWORKDAYS.INTL(L16,M16,1,'Schedule Calendar'!$H$6:$H$30))</f>
        <v>10</v>
      </c>
      <c r="O16" s="1" t="s">
        <v>302</v>
      </c>
      <c r="P16" s="1" t="s">
        <v>38</v>
      </c>
      <c r="Q16" s="1" t="s">
        <v>36</v>
      </c>
      <c r="R16" s="8" t="s">
        <v>262</v>
      </c>
      <c r="S16" s="8" t="s">
        <v>303</v>
      </c>
      <c r="T16" s="8" t="s">
        <v>252</v>
      </c>
      <c r="U16" s="1"/>
      <c r="V16" s="1"/>
    </row>
    <row r="17" spans="1:22" ht="28.8" outlineLevel="1" x14ac:dyDescent="0.3">
      <c r="A17" s="10" t="s">
        <v>304</v>
      </c>
      <c r="B17" s="1" t="s">
        <v>298</v>
      </c>
      <c r="C17" s="1" t="s">
        <v>305</v>
      </c>
      <c r="D17" s="1" t="s">
        <v>306</v>
      </c>
      <c r="E17" s="8" t="s">
        <v>39</v>
      </c>
      <c r="F17" s="15" t="s">
        <v>307</v>
      </c>
      <c r="G17" s="15" t="s">
        <v>308</v>
      </c>
      <c r="H17" s="16">
        <f>IF(OR(F17="",G17=""),"",NETWORKDAYS.INTL(F17,G17,1,'Schedule Calendar'!$H$6:$H$30))</f>
        <v>10</v>
      </c>
      <c r="I17" s="15"/>
      <c r="J17" s="15"/>
      <c r="K17" s="16" t="str">
        <f>IF(OR(I17="",J17=""),"",NETWORKDAYS.INTL(I17,J17,1,'Schedule Calendar'!$H$6:$H$30))</f>
        <v/>
      </c>
      <c r="L17" s="15">
        <f>IF(I17&lt;&gt;"",I17,MAX(F17,WORKDAY(MAX(M8),1,'Schedule Calendar'!$H$6:$H$30)))</f>
        <v>46324</v>
      </c>
      <c r="M17" s="15">
        <f>IF(J17&lt;&gt;"",J17,IF(OR(L17="",H17=""),"",WORKDAY(L17,H17-1,'Schedule Calendar'!$H$6:$H$30)))</f>
        <v>46337</v>
      </c>
      <c r="N17" s="16">
        <f>IF(OR(L17="",M17=""),"",NETWORKDAYS.INTL(L17,M17,1,'Schedule Calendar'!$H$6:$H$30))</f>
        <v>10</v>
      </c>
      <c r="O17" s="1" t="s">
        <v>309</v>
      </c>
      <c r="P17" s="1" t="s">
        <v>38</v>
      </c>
      <c r="Q17" s="1" t="s">
        <v>36</v>
      </c>
      <c r="R17" s="8" t="s">
        <v>36</v>
      </c>
      <c r="S17" s="8" t="s">
        <v>310</v>
      </c>
      <c r="T17" s="8" t="s">
        <v>252</v>
      </c>
      <c r="U17" s="1"/>
      <c r="V17" s="1"/>
    </row>
    <row r="18" spans="1:22" ht="28.8" outlineLevel="1" x14ac:dyDescent="0.3">
      <c r="A18" s="10" t="s">
        <v>311</v>
      </c>
      <c r="B18" s="1" t="s">
        <v>298</v>
      </c>
      <c r="C18" s="1" t="s">
        <v>312</v>
      </c>
      <c r="D18" s="1" t="s">
        <v>306</v>
      </c>
      <c r="E18" s="8" t="s">
        <v>304</v>
      </c>
      <c r="F18" s="15" t="s">
        <v>307</v>
      </c>
      <c r="G18" s="15" t="s">
        <v>308</v>
      </c>
      <c r="H18" s="16">
        <f>IF(OR(F18="",G18=""),"",NETWORKDAYS.INTL(F18,G18,1,'Schedule Calendar'!$H$6:$H$30))</f>
        <v>10</v>
      </c>
      <c r="I18" s="15"/>
      <c r="J18" s="15"/>
      <c r="K18" s="16" t="str">
        <f>IF(OR(I18="",J18=""),"",NETWORKDAYS.INTL(I18,J18,1,'Schedule Calendar'!$H$6:$H$30))</f>
        <v/>
      </c>
      <c r="L18" s="15">
        <f>IF(I18&lt;&gt;"",I18,MAX(F18,WORKDAY(MAX(M17),1,'Schedule Calendar'!$H$6:$H$30)))</f>
        <v>46338</v>
      </c>
      <c r="M18" s="15">
        <f>IF(J18&lt;&gt;"",J18,IF(OR(L18="",H18=""),"",WORKDAY(L18,H18-1,'Schedule Calendar'!$H$6:$H$30)))</f>
        <v>46351</v>
      </c>
      <c r="N18" s="16">
        <f>IF(OR(L18="",M18=""),"",NETWORKDAYS.INTL(L18,M18,1,'Schedule Calendar'!$H$6:$H$30))</f>
        <v>10</v>
      </c>
      <c r="O18" s="1" t="s">
        <v>313</v>
      </c>
      <c r="P18" s="1" t="s">
        <v>38</v>
      </c>
      <c r="Q18" s="1" t="s">
        <v>36</v>
      </c>
      <c r="R18" s="8" t="s">
        <v>36</v>
      </c>
      <c r="S18" s="8" t="s">
        <v>314</v>
      </c>
      <c r="T18" s="8" t="s">
        <v>252</v>
      </c>
      <c r="U18" s="1"/>
      <c r="V18" s="1"/>
    </row>
    <row r="19" spans="1:22" ht="28.8" outlineLevel="1" x14ac:dyDescent="0.3">
      <c r="A19" s="10" t="s">
        <v>315</v>
      </c>
      <c r="B19" s="1" t="s">
        <v>298</v>
      </c>
      <c r="C19" s="1" t="s">
        <v>316</v>
      </c>
      <c r="D19" s="1" t="s">
        <v>317</v>
      </c>
      <c r="E19" s="8" t="s">
        <v>311</v>
      </c>
      <c r="F19" s="15" t="s">
        <v>318</v>
      </c>
      <c r="G19" s="15" t="s">
        <v>308</v>
      </c>
      <c r="H19" s="16">
        <f>IF(OR(F19="",G19=""),"",NETWORKDAYS.INTL(F19,G19,1,'Schedule Calendar'!$H$6:$H$30))</f>
        <v>7</v>
      </c>
      <c r="I19" s="15"/>
      <c r="J19" s="15"/>
      <c r="K19" s="16" t="str">
        <f>IF(OR(I19="",J19=""),"",NETWORKDAYS.INTL(I19,J19,1,'Schedule Calendar'!$H$6:$H$30))</f>
        <v/>
      </c>
      <c r="L19" s="15">
        <f>IF(I19&lt;&gt;"",I19,MAX(F19,WORKDAY(MAX(M18),1,'Schedule Calendar'!$H$6:$H$30)))</f>
        <v>46352</v>
      </c>
      <c r="M19" s="15">
        <f>IF(J19&lt;&gt;"",J19,IF(OR(L19="",H19=""),"",WORKDAY(L19,H19-1,'Schedule Calendar'!$H$6:$H$30)))</f>
        <v>46360</v>
      </c>
      <c r="N19" s="16">
        <f>IF(OR(L19="",M19=""),"",NETWORKDAYS.INTL(L19,M19,1,'Schedule Calendar'!$H$6:$H$30))</f>
        <v>7</v>
      </c>
      <c r="O19" s="1" t="s">
        <v>319</v>
      </c>
      <c r="P19" s="1" t="s">
        <v>38</v>
      </c>
      <c r="Q19" s="1" t="s">
        <v>36</v>
      </c>
      <c r="R19" s="8" t="s">
        <v>262</v>
      </c>
      <c r="S19" s="8" t="s">
        <v>320</v>
      </c>
      <c r="T19" s="8" t="s">
        <v>252</v>
      </c>
      <c r="U19" s="1"/>
      <c r="V19" s="1"/>
    </row>
    <row r="20" spans="1:22" ht="28.8" outlineLevel="1" x14ac:dyDescent="0.3">
      <c r="A20" s="10" t="s">
        <v>321</v>
      </c>
      <c r="B20" s="1" t="s">
        <v>298</v>
      </c>
      <c r="C20" s="1" t="s">
        <v>322</v>
      </c>
      <c r="D20" s="1" t="s">
        <v>317</v>
      </c>
      <c r="E20" s="8" t="s">
        <v>315</v>
      </c>
      <c r="F20" s="15" t="s">
        <v>323</v>
      </c>
      <c r="G20" s="15" t="s">
        <v>324</v>
      </c>
      <c r="H20" s="16">
        <f>IF(OR(F20="",G20=""),"",NETWORKDAYS.INTL(F20,G20,1,'Schedule Calendar'!$H$6:$H$30))</f>
        <v>10</v>
      </c>
      <c r="I20" s="15"/>
      <c r="J20" s="15"/>
      <c r="K20" s="16" t="str">
        <f>IF(OR(I20="",J20=""),"",NETWORKDAYS.INTL(I20,J20,1,'Schedule Calendar'!$H$6:$H$30))</f>
        <v/>
      </c>
      <c r="L20" s="15">
        <f>IF(I20&lt;&gt;"",I20,MAX(F20,WORKDAY(MAX(M19),1,'Schedule Calendar'!$H$6:$H$30)))</f>
        <v>46363</v>
      </c>
      <c r="M20" s="15">
        <f>IF(J20&lt;&gt;"",J20,IF(OR(L20="",H20=""),"",WORKDAY(L20,H20-1,'Schedule Calendar'!$H$6:$H$30)))</f>
        <v>46374</v>
      </c>
      <c r="N20" s="16">
        <f>IF(OR(L20="",M20=""),"",NETWORKDAYS.INTL(L20,M20,1,'Schedule Calendar'!$H$6:$H$30))</f>
        <v>10</v>
      </c>
      <c r="O20" s="1" t="s">
        <v>325</v>
      </c>
      <c r="P20" s="1" t="s">
        <v>38</v>
      </c>
      <c r="Q20" s="1" t="s">
        <v>36</v>
      </c>
      <c r="R20" s="8" t="s">
        <v>36</v>
      </c>
      <c r="S20" s="8" t="s">
        <v>326</v>
      </c>
      <c r="T20" s="8" t="s">
        <v>252</v>
      </c>
      <c r="U20" s="1"/>
      <c r="V20" s="1"/>
    </row>
    <row r="21" spans="1:22" ht="28.8" x14ac:dyDescent="0.3">
      <c r="A21" s="12" t="s">
        <v>51</v>
      </c>
      <c r="B21" s="5" t="s">
        <v>298</v>
      </c>
      <c r="C21" s="12" t="s">
        <v>327</v>
      </c>
      <c r="D21" s="5" t="s">
        <v>34</v>
      </c>
      <c r="E21" s="8" t="s">
        <v>45</v>
      </c>
      <c r="F21" s="13" t="str">
        <f>IF(COUNT(F22:F24)=0,"",MIN(F22:F24))</f>
        <v/>
      </c>
      <c r="G21" s="13" t="str">
        <f>IF(COUNT(G22:G24)=0,"",MAX(G22:G24))</f>
        <v/>
      </c>
      <c r="H21" s="14" t="str">
        <f>IF(OR(F21="",G21=""),"",NETWORKDAYS.INTL(F21,G21,1,'Schedule Calendar'!$H$6:$H$30))</f>
        <v/>
      </c>
      <c r="I21" s="13" t="str">
        <f>IF(COUNT(I22:I24)=0,"",MIN(I22:I24))</f>
        <v/>
      </c>
      <c r="J21" s="13"/>
      <c r="K21" s="14" t="str">
        <f>IF(OR(I21="",J21=""),"",NETWORKDAYS.INTL(I21,J21,1,'Schedule Calendar'!$H$6:$H$30))</f>
        <v/>
      </c>
      <c r="L21" s="13">
        <f>IFERROR(MIN(L22:L24),"")</f>
        <v>46377</v>
      </c>
      <c r="M21" s="13">
        <f>IFERROR(MAX(M22:M24),"")</f>
        <v>46393</v>
      </c>
      <c r="N21" s="14">
        <f>IF(OR(L21="",M21=""),"",NETWORKDAYS.INTL(L21,M21,1,'Schedule Calendar'!$H$6:$H$30))</f>
        <v>13</v>
      </c>
      <c r="O21" s="5" t="s">
        <v>241</v>
      </c>
      <c r="P21" s="5" t="str">
        <f>IF(COUNTIF(P22:P24,"Red")&gt;0,"Red",IF(COUNTIF(P22:P24,"Amber")&gt;0,"Amber",IF(COUNTIF(P22:P24,"Blocked")&gt;0,"Blocked",IF(COUNTIF(P22:P24,"Complete")=ROWS(P22:P24),"Complete",IF(COUNTIF(P22:P24,"Green")&gt;0,"Green","Not Started")))))</f>
        <v>Not Started</v>
      </c>
      <c r="Q21" s="5" t="str">
        <f>IF(COUNTIF(Q22:Q24,"Yes")&gt;0,"Yes","No")</f>
        <v>Yes</v>
      </c>
      <c r="R21" s="8" t="str">
        <f>IF(COUNTIF(R22:R24,"Yes")&gt;0,"Yes","No")</f>
        <v>Yes</v>
      </c>
      <c r="S21" s="8" t="s">
        <v>243</v>
      </c>
      <c r="T21" s="8" t="s">
        <v>244</v>
      </c>
      <c r="U21" s="5"/>
      <c r="V21" s="5"/>
    </row>
    <row r="22" spans="1:22" ht="28.8" outlineLevel="1" x14ac:dyDescent="0.3">
      <c r="A22" s="10" t="s">
        <v>328</v>
      </c>
      <c r="B22" s="1" t="s">
        <v>298</v>
      </c>
      <c r="C22" s="1" t="s">
        <v>329</v>
      </c>
      <c r="D22" s="1" t="s">
        <v>54</v>
      </c>
      <c r="E22" s="8" t="s">
        <v>45</v>
      </c>
      <c r="F22" s="15" t="s">
        <v>330</v>
      </c>
      <c r="G22" s="15" t="s">
        <v>331</v>
      </c>
      <c r="H22" s="16">
        <f>IF(OR(F22="",G22=""),"",NETWORKDAYS.INTL(F22,G22,1,'Schedule Calendar'!$H$6:$H$30))</f>
        <v>7</v>
      </c>
      <c r="I22" s="15"/>
      <c r="J22" s="15"/>
      <c r="K22" s="16" t="str">
        <f>IF(OR(I22="",J22=""),"",NETWORKDAYS.INTL(I22,J22,1,'Schedule Calendar'!$H$6:$H$30))</f>
        <v/>
      </c>
      <c r="L22" s="15">
        <f>IF(I22&lt;&gt;"",I22,MAX(F22,WORKDAY(MAX(M15),1,'Schedule Calendar'!$H$6:$H$30)))</f>
        <v>46377</v>
      </c>
      <c r="M22" s="15">
        <f>IF(J22&lt;&gt;"",J22,IF(OR(L22="",H22=""),"",WORKDAY(L22,H22-1,'Schedule Calendar'!$H$6:$H$30)))</f>
        <v>46385</v>
      </c>
      <c r="N22" s="16">
        <f>IF(OR(L22="",M22=""),"",NETWORKDAYS.INTL(L22,M22,1,'Schedule Calendar'!$H$6:$H$30))</f>
        <v>7</v>
      </c>
      <c r="O22" s="1" t="s">
        <v>332</v>
      </c>
      <c r="P22" s="1" t="s">
        <v>38</v>
      </c>
      <c r="Q22" s="1" t="s">
        <v>36</v>
      </c>
      <c r="R22" s="8" t="s">
        <v>36</v>
      </c>
      <c r="S22" s="8" t="s">
        <v>333</v>
      </c>
      <c r="T22" s="8" t="s">
        <v>252</v>
      </c>
      <c r="U22" s="1"/>
      <c r="V22" s="1"/>
    </row>
    <row r="23" spans="1:22" outlineLevel="1" x14ac:dyDescent="0.3">
      <c r="A23" s="10" t="s">
        <v>334</v>
      </c>
      <c r="B23" s="1" t="s">
        <v>298</v>
      </c>
      <c r="C23" s="1" t="s">
        <v>335</v>
      </c>
      <c r="D23" s="1" t="s">
        <v>42</v>
      </c>
      <c r="E23" s="8" t="s">
        <v>328</v>
      </c>
      <c r="F23" s="15" t="s">
        <v>336</v>
      </c>
      <c r="G23" s="15" t="s">
        <v>337</v>
      </c>
      <c r="H23" s="16">
        <f>IF(OR(F23="",G23=""),"",NETWORKDAYS.INTL(F23,G23,1,'Schedule Calendar'!$H$6:$H$30))</f>
        <v>4</v>
      </c>
      <c r="I23" s="15"/>
      <c r="J23" s="15"/>
      <c r="K23" s="16" t="str">
        <f>IF(OR(I23="",J23=""),"",NETWORKDAYS.INTL(I23,J23,1,'Schedule Calendar'!$H$6:$H$30))</f>
        <v/>
      </c>
      <c r="L23" s="15">
        <f>IF(I23&lt;&gt;"",I23,MAX(F23,WORKDAY(MAX(M22),1,'Schedule Calendar'!$H$6:$H$30)))</f>
        <v>46386</v>
      </c>
      <c r="M23" s="15">
        <f>IF(J23&lt;&gt;"",J23,IF(OR(L23="",H23=""),"",WORKDAY(L23,H23-1,'Schedule Calendar'!$H$6:$H$30)))</f>
        <v>46391</v>
      </c>
      <c r="N23" s="16">
        <f>IF(OR(L23="",M23=""),"",NETWORKDAYS.INTL(L23,M23,1,'Schedule Calendar'!$H$6:$H$30))</f>
        <v>4</v>
      </c>
      <c r="O23" s="1" t="s">
        <v>338</v>
      </c>
      <c r="P23" s="1" t="s">
        <v>38</v>
      </c>
      <c r="Q23" s="1" t="s">
        <v>36</v>
      </c>
      <c r="R23" s="8" t="s">
        <v>262</v>
      </c>
      <c r="S23" s="8" t="s">
        <v>339</v>
      </c>
      <c r="T23" s="8" t="s">
        <v>252</v>
      </c>
      <c r="U23" s="1"/>
      <c r="V23" s="1"/>
    </row>
    <row r="24" spans="1:22" ht="28.8" outlineLevel="1" x14ac:dyDescent="0.3">
      <c r="A24" s="10" t="s">
        <v>340</v>
      </c>
      <c r="B24" s="1" t="s">
        <v>298</v>
      </c>
      <c r="C24" s="1" t="s">
        <v>341</v>
      </c>
      <c r="D24" s="1" t="s">
        <v>34</v>
      </c>
      <c r="E24" s="8" t="s">
        <v>342</v>
      </c>
      <c r="F24" s="15" t="s">
        <v>337</v>
      </c>
      <c r="G24" s="15" t="s">
        <v>343</v>
      </c>
      <c r="H24" s="16">
        <f>IF(OR(F24="",G24=""),"",NETWORKDAYS.INTL(F24,G24,1,'Schedule Calendar'!$H$6:$H$30))</f>
        <v>2</v>
      </c>
      <c r="I24" s="15"/>
      <c r="J24" s="15"/>
      <c r="K24" s="16" t="str">
        <f>IF(OR(I24="",J24=""),"",NETWORKDAYS.INTL(I24,J24,1,'Schedule Calendar'!$H$6:$H$30))</f>
        <v/>
      </c>
      <c r="L24" s="15">
        <f>IF(I24&lt;&gt;"",I24,MAX(F24,WORKDAY(MAX(M22,M23),1,'Schedule Calendar'!$H$6:$H$30)))</f>
        <v>46392</v>
      </c>
      <c r="M24" s="15">
        <f>IF(J24&lt;&gt;"",J24,IF(OR(L24="",H24=""),"",WORKDAY(L24,H24-1,'Schedule Calendar'!$H$6:$H$30)))</f>
        <v>46393</v>
      </c>
      <c r="N24" s="16">
        <f>IF(OR(L24="",M24=""),"",NETWORKDAYS.INTL(L24,M24,1,'Schedule Calendar'!$H$6:$H$30))</f>
        <v>2</v>
      </c>
      <c r="O24" s="1" t="s">
        <v>344</v>
      </c>
      <c r="P24" s="1" t="s">
        <v>38</v>
      </c>
      <c r="Q24" s="1" t="s">
        <v>36</v>
      </c>
      <c r="R24" s="8" t="s">
        <v>262</v>
      </c>
      <c r="S24" s="8" t="s">
        <v>345</v>
      </c>
      <c r="T24" s="8" t="s">
        <v>252</v>
      </c>
      <c r="U24" s="1"/>
      <c r="V24" s="1"/>
    </row>
    <row r="25" spans="1:22" ht="28.8" x14ac:dyDescent="0.3">
      <c r="A25" s="12" t="s">
        <v>57</v>
      </c>
      <c r="B25" s="5" t="s">
        <v>298</v>
      </c>
      <c r="C25" s="12" t="s">
        <v>346</v>
      </c>
      <c r="D25" s="5" t="s">
        <v>34</v>
      </c>
      <c r="E25" s="8" t="s">
        <v>51</v>
      </c>
      <c r="F25" s="13" t="str">
        <f>IF(COUNT(F26:F28)=0,"",MIN(F26:F28))</f>
        <v/>
      </c>
      <c r="G25" s="13" t="str">
        <f>IF(COUNT(G26:G28)=0,"",MAX(G26:G28))</f>
        <v/>
      </c>
      <c r="H25" s="14" t="str">
        <f>IF(OR(F25="",G25=""),"",NETWORKDAYS.INTL(F25,G25,1,'Schedule Calendar'!$H$6:$H$30))</f>
        <v/>
      </c>
      <c r="I25" s="13" t="str">
        <f>IF(COUNT(I26:I28)=0,"",MIN(I26:I28))</f>
        <v/>
      </c>
      <c r="J25" s="13"/>
      <c r="K25" s="14" t="str">
        <f>IF(OR(I25="",J25=""),"",NETWORKDAYS.INTL(I25,J25,1,'Schedule Calendar'!$H$6:$H$30))</f>
        <v/>
      </c>
      <c r="L25" s="13">
        <f>IFERROR(MIN(L26:L28),"")</f>
        <v>46394</v>
      </c>
      <c r="M25" s="13">
        <f>IFERROR(MAX(M26:M28),"")</f>
        <v>46402</v>
      </c>
      <c r="N25" s="14">
        <f>IF(OR(L25="",M25=""),"",NETWORKDAYS.INTL(L25,M25,1,'Schedule Calendar'!$H$6:$H$30))</f>
        <v>7</v>
      </c>
      <c r="O25" s="5" t="s">
        <v>241</v>
      </c>
      <c r="P25" s="5" t="str">
        <f>IF(COUNTIF(P26:P28,"Red")&gt;0,"Red",IF(COUNTIF(P26:P28,"Amber")&gt;0,"Amber",IF(COUNTIF(P26:P28,"Blocked")&gt;0,"Blocked",IF(COUNTIF(P26:P28,"Complete")=ROWS(P26:P28),"Complete",IF(COUNTIF(P26:P28,"Green")&gt;0,"Green","Not Started")))))</f>
        <v>Not Started</v>
      </c>
      <c r="Q25" s="5" t="str">
        <f>IF(COUNTIF(Q26:Q28,"Yes")&gt;0,"Yes","No")</f>
        <v>Yes</v>
      </c>
      <c r="R25" s="8" t="str">
        <f>IF(COUNTIF(R26:R28,"Yes")&gt;0,"Yes","No")</f>
        <v>Yes</v>
      </c>
      <c r="S25" s="8" t="s">
        <v>243</v>
      </c>
      <c r="T25" s="8" t="s">
        <v>244</v>
      </c>
      <c r="U25" s="5"/>
      <c r="V25" s="5"/>
    </row>
    <row r="26" spans="1:22" ht="28.8" outlineLevel="1" x14ac:dyDescent="0.3">
      <c r="A26" s="10" t="s">
        <v>347</v>
      </c>
      <c r="B26" s="1" t="s">
        <v>298</v>
      </c>
      <c r="C26" s="1" t="s">
        <v>348</v>
      </c>
      <c r="D26" s="1" t="s">
        <v>34</v>
      </c>
      <c r="E26" s="8" t="s">
        <v>51</v>
      </c>
      <c r="F26" s="15" t="s">
        <v>349</v>
      </c>
      <c r="G26" s="15" t="s">
        <v>350</v>
      </c>
      <c r="H26" s="16">
        <f>IF(OR(F26="",G26=""),"",NETWORKDAYS.INTL(F26,G26,1,'Schedule Calendar'!$H$6:$H$30))</f>
        <v>2</v>
      </c>
      <c r="I26" s="15"/>
      <c r="J26" s="15"/>
      <c r="K26" s="16" t="str">
        <f>IF(OR(I26="",J26=""),"",NETWORKDAYS.INTL(I26,J26,1,'Schedule Calendar'!$H$6:$H$30))</f>
        <v/>
      </c>
      <c r="L26" s="15">
        <f>IF(I26&lt;&gt;"",I26,MAX(F26,WORKDAY(MAX(M21),1,'Schedule Calendar'!$H$6:$H$30)))</f>
        <v>46394</v>
      </c>
      <c r="M26" s="15">
        <f>IF(J26&lt;&gt;"",J26,IF(OR(L26="",H26=""),"",WORKDAY(L26,H26-1,'Schedule Calendar'!$H$6:$H$30)))</f>
        <v>46395</v>
      </c>
      <c r="N26" s="16">
        <f>IF(OR(L26="",M26=""),"",NETWORKDAYS.INTL(L26,M26,1,'Schedule Calendar'!$H$6:$H$30))</f>
        <v>2</v>
      </c>
      <c r="O26" s="1" t="s">
        <v>351</v>
      </c>
      <c r="P26" s="1" t="s">
        <v>38</v>
      </c>
      <c r="Q26" s="1" t="s">
        <v>36</v>
      </c>
      <c r="R26" s="8" t="s">
        <v>36</v>
      </c>
      <c r="S26" s="8" t="s">
        <v>352</v>
      </c>
      <c r="T26" s="8" t="s">
        <v>353</v>
      </c>
      <c r="U26" s="1"/>
      <c r="V26" s="1"/>
    </row>
    <row r="27" spans="1:22" ht="28.8" outlineLevel="1" x14ac:dyDescent="0.3">
      <c r="A27" s="10" t="s">
        <v>354</v>
      </c>
      <c r="B27" s="1" t="s">
        <v>298</v>
      </c>
      <c r="C27" s="1" t="s">
        <v>355</v>
      </c>
      <c r="D27" s="1" t="s">
        <v>306</v>
      </c>
      <c r="E27" s="8" t="s">
        <v>347</v>
      </c>
      <c r="F27" s="15" t="s">
        <v>350</v>
      </c>
      <c r="G27" s="15" t="s">
        <v>356</v>
      </c>
      <c r="H27" s="16">
        <f>IF(OR(F27="",G27=""),"",NETWORKDAYS.INTL(F27,G27,1,'Schedule Calendar'!$H$6:$H$30))</f>
        <v>3</v>
      </c>
      <c r="I27" s="15"/>
      <c r="J27" s="15"/>
      <c r="K27" s="16" t="str">
        <f>IF(OR(I27="",J27=""),"",NETWORKDAYS.INTL(I27,J27,1,'Schedule Calendar'!$H$6:$H$30))</f>
        <v/>
      </c>
      <c r="L27" s="15">
        <f>IF(I27&lt;&gt;"",I27,MAX(F27,WORKDAY(MAX(M26),1,'Schedule Calendar'!$H$6:$H$30)))</f>
        <v>46398</v>
      </c>
      <c r="M27" s="15">
        <f>IF(J27&lt;&gt;"",J27,IF(OR(L27="",H27=""),"",WORKDAY(L27,H27-1,'Schedule Calendar'!$H$6:$H$30)))</f>
        <v>46400</v>
      </c>
      <c r="N27" s="16">
        <f>IF(OR(L27="",M27=""),"",NETWORKDAYS.INTL(L27,M27,1,'Schedule Calendar'!$H$6:$H$30))</f>
        <v>3</v>
      </c>
      <c r="O27" s="1" t="s">
        <v>357</v>
      </c>
      <c r="P27" s="1" t="s">
        <v>38</v>
      </c>
      <c r="Q27" s="1" t="s">
        <v>36</v>
      </c>
      <c r="R27" s="8" t="s">
        <v>36</v>
      </c>
      <c r="S27" s="8" t="s">
        <v>358</v>
      </c>
      <c r="T27" s="8" t="s">
        <v>359</v>
      </c>
      <c r="U27" s="1"/>
      <c r="V27" s="1"/>
    </row>
    <row r="28" spans="1:22" ht="28.8" outlineLevel="1" x14ac:dyDescent="0.3">
      <c r="A28" s="10" t="s">
        <v>360</v>
      </c>
      <c r="B28" s="1" t="s">
        <v>298</v>
      </c>
      <c r="C28" s="1" t="s">
        <v>361</v>
      </c>
      <c r="D28" s="1" t="s">
        <v>34</v>
      </c>
      <c r="E28" s="8" t="s">
        <v>354</v>
      </c>
      <c r="F28" s="15" t="s">
        <v>356</v>
      </c>
      <c r="G28" s="15" t="s">
        <v>362</v>
      </c>
      <c r="H28" s="16">
        <f>IF(OR(F28="",G28=""),"",NETWORKDAYS.INTL(F28,G28,1,'Schedule Calendar'!$H$6:$H$30))</f>
        <v>2</v>
      </c>
      <c r="I28" s="15"/>
      <c r="J28" s="15"/>
      <c r="K28" s="16" t="str">
        <f>IF(OR(I28="",J28=""),"",NETWORKDAYS.INTL(I28,J28,1,'Schedule Calendar'!$H$6:$H$30))</f>
        <v/>
      </c>
      <c r="L28" s="15">
        <f>IF(I28&lt;&gt;"",I28,MAX(F28,WORKDAY(MAX(M27),1,'Schedule Calendar'!$H$6:$H$30)))</f>
        <v>46401</v>
      </c>
      <c r="M28" s="15">
        <f>IF(J28&lt;&gt;"",J28,IF(OR(L28="",H28=""),"",WORKDAY(L28,H28-1,'Schedule Calendar'!$H$6:$H$30)))</f>
        <v>46402</v>
      </c>
      <c r="N28" s="16">
        <f>IF(OR(L28="",M28=""),"",NETWORKDAYS.INTL(L28,M28,1,'Schedule Calendar'!$H$6:$H$30))</f>
        <v>2</v>
      </c>
      <c r="O28" s="1" t="s">
        <v>363</v>
      </c>
      <c r="P28" s="1" t="s">
        <v>38</v>
      </c>
      <c r="Q28" s="1" t="s">
        <v>36</v>
      </c>
      <c r="R28" s="8" t="s">
        <v>36</v>
      </c>
      <c r="S28" s="8" t="s">
        <v>364</v>
      </c>
      <c r="T28" s="8" t="s">
        <v>359</v>
      </c>
      <c r="U28" s="1"/>
      <c r="V28" s="1"/>
    </row>
    <row r="29" spans="1:22" ht="28.8" x14ac:dyDescent="0.3">
      <c r="A29" s="12" t="s">
        <v>62</v>
      </c>
      <c r="B29" s="5" t="s">
        <v>365</v>
      </c>
      <c r="C29" s="12" t="s">
        <v>63</v>
      </c>
      <c r="D29" s="5" t="s">
        <v>317</v>
      </c>
      <c r="E29" s="8" t="s">
        <v>57</v>
      </c>
      <c r="F29" s="13" t="str">
        <f>IF(COUNT(F30:F32)=0,"",MIN(F30:F32))</f>
        <v/>
      </c>
      <c r="G29" s="13" t="str">
        <f>IF(COUNT(G30:G32)=0,"",MAX(G30:G32))</f>
        <v/>
      </c>
      <c r="H29" s="14" t="str">
        <f>IF(OR(F29="",G29=""),"",NETWORKDAYS.INTL(F29,G29,1,'Schedule Calendar'!$H$6:$H$30))</f>
        <v/>
      </c>
      <c r="I29" s="13" t="str">
        <f>IF(COUNT(I30:I32)=0,"",MIN(I30:I32))</f>
        <v/>
      </c>
      <c r="J29" s="13"/>
      <c r="K29" s="14" t="str">
        <f>IF(OR(I29="",J29=""),"",NETWORKDAYS.INTL(I29,J29,1,'Schedule Calendar'!$H$6:$H$30))</f>
        <v/>
      </c>
      <c r="L29" s="13">
        <f>IFERROR(MIN(L30:L32),"")</f>
        <v>46324</v>
      </c>
      <c r="M29" s="13">
        <f>IFERROR(MAX(M30:M32),"")</f>
        <v>46358</v>
      </c>
      <c r="N29" s="14">
        <f>IF(OR(L29="",M29=""),"",NETWORKDAYS.INTL(L29,M29,1,'Schedule Calendar'!$H$6:$H$30))</f>
        <v>25</v>
      </c>
      <c r="O29" s="5" t="s">
        <v>241</v>
      </c>
      <c r="P29" s="5" t="str">
        <f>IF(COUNTIF(P30:P32,"Red")&gt;0,"Red",IF(COUNTIF(P30:P32,"Amber")&gt;0,"Amber",IF(COUNTIF(P30:P32,"Blocked")&gt;0,"Blocked",IF(COUNTIF(P30:P32,"Complete")=ROWS(P30:P32),"Complete",IF(COUNTIF(P30:P32,"Green")&gt;0,"Green","Not Started")))))</f>
        <v>Not Started</v>
      </c>
      <c r="Q29" s="5" t="str">
        <f>IF(COUNTIF(Q30:Q32,"Yes")&gt;0,"Yes","No")</f>
        <v>Yes</v>
      </c>
      <c r="R29" s="8" t="str">
        <f>IF(COUNTIF(R30:R32,"Yes")&gt;0,"Yes","No")</f>
        <v>Yes</v>
      </c>
      <c r="S29" s="8" t="s">
        <v>243</v>
      </c>
      <c r="T29" s="8" t="s">
        <v>244</v>
      </c>
      <c r="U29" s="5"/>
      <c r="V29" s="5"/>
    </row>
    <row r="30" spans="1:22" ht="28.8" outlineLevel="1" x14ac:dyDescent="0.3">
      <c r="A30" s="10" t="s">
        <v>366</v>
      </c>
      <c r="B30" s="1" t="s">
        <v>365</v>
      </c>
      <c r="C30" s="1" t="s">
        <v>312</v>
      </c>
      <c r="D30" s="1" t="s">
        <v>317</v>
      </c>
      <c r="E30" s="8" t="s">
        <v>39</v>
      </c>
      <c r="F30" s="15" t="s">
        <v>279</v>
      </c>
      <c r="G30" s="15" t="s">
        <v>308</v>
      </c>
      <c r="H30" s="16">
        <f>IF(OR(F30="",G30=""),"",NETWORKDAYS.INTL(F30,G30,1,'Schedule Calendar'!$H$6:$H$30))</f>
        <v>15</v>
      </c>
      <c r="I30" s="15"/>
      <c r="J30" s="15"/>
      <c r="K30" s="16" t="str">
        <f>IF(OR(I30="",J30=""),"",NETWORKDAYS.INTL(I30,J30,1,'Schedule Calendar'!$H$6:$H$30))</f>
        <v/>
      </c>
      <c r="L30" s="15">
        <f>IF(I30&lt;&gt;"",I30,MAX(F30,WORKDAY(MAX(M8),1,'Schedule Calendar'!$H$6:$H$30)))</f>
        <v>46324</v>
      </c>
      <c r="M30" s="15">
        <f>IF(J30&lt;&gt;"",J30,IF(OR(L30="",H30=""),"",WORKDAY(L30,H30-1,'Schedule Calendar'!$H$6:$H$30)))</f>
        <v>46344</v>
      </c>
      <c r="N30" s="16">
        <f>IF(OR(L30="",M30=""),"",NETWORKDAYS.INTL(L30,M30,1,'Schedule Calendar'!$H$6:$H$30))</f>
        <v>15</v>
      </c>
      <c r="O30" s="1" t="s">
        <v>367</v>
      </c>
      <c r="P30" s="1" t="s">
        <v>38</v>
      </c>
      <c r="Q30" s="1" t="s">
        <v>36</v>
      </c>
      <c r="R30" s="8" t="s">
        <v>36</v>
      </c>
      <c r="S30" s="8" t="s">
        <v>368</v>
      </c>
      <c r="T30" s="8" t="s">
        <v>252</v>
      </c>
      <c r="U30" s="1"/>
      <c r="V30" s="1"/>
    </row>
    <row r="31" spans="1:22" outlineLevel="1" x14ac:dyDescent="0.3">
      <c r="A31" s="10" t="s">
        <v>369</v>
      </c>
      <c r="B31" s="1" t="s">
        <v>365</v>
      </c>
      <c r="C31" s="1" t="s">
        <v>316</v>
      </c>
      <c r="D31" s="1" t="s">
        <v>370</v>
      </c>
      <c r="E31" s="8" t="s">
        <v>366</v>
      </c>
      <c r="F31" s="15" t="s">
        <v>307</v>
      </c>
      <c r="G31" s="15" t="s">
        <v>308</v>
      </c>
      <c r="H31" s="16">
        <f>IF(OR(F31="",G31=""),"",NETWORKDAYS.INTL(F31,G31,1,'Schedule Calendar'!$H$6:$H$30))</f>
        <v>10</v>
      </c>
      <c r="I31" s="15"/>
      <c r="J31" s="15"/>
      <c r="K31" s="16" t="str">
        <f>IF(OR(I31="",J31=""),"",NETWORKDAYS.INTL(I31,J31,1,'Schedule Calendar'!$H$6:$H$30))</f>
        <v/>
      </c>
      <c r="L31" s="15">
        <f>IF(I31&lt;&gt;"",I31,MAX(F31,WORKDAY(MAX(M30),1,'Schedule Calendar'!$H$6:$H$30)))</f>
        <v>46345</v>
      </c>
      <c r="M31" s="15">
        <f>IF(J31&lt;&gt;"",J31,IF(OR(L31="",H31=""),"",WORKDAY(L31,H31-1,'Schedule Calendar'!$H$6:$H$30)))</f>
        <v>46358</v>
      </c>
      <c r="N31" s="16">
        <f>IF(OR(L31="",M31=""),"",NETWORKDAYS.INTL(L31,M31,1,'Schedule Calendar'!$H$6:$H$30))</f>
        <v>10</v>
      </c>
      <c r="O31" s="1" t="s">
        <v>371</v>
      </c>
      <c r="P31" s="1" t="s">
        <v>38</v>
      </c>
      <c r="Q31" s="1" t="s">
        <v>36</v>
      </c>
      <c r="R31" s="8" t="s">
        <v>262</v>
      </c>
      <c r="S31" s="8" t="s">
        <v>372</v>
      </c>
      <c r="T31" s="8" t="s">
        <v>252</v>
      </c>
      <c r="U31" s="1"/>
      <c r="V31" s="1"/>
    </row>
    <row r="32" spans="1:22" outlineLevel="1" x14ac:dyDescent="0.3">
      <c r="A32" s="10" t="s">
        <v>373</v>
      </c>
      <c r="B32" s="1" t="s">
        <v>365</v>
      </c>
      <c r="C32" s="1" t="s">
        <v>322</v>
      </c>
      <c r="D32" s="1" t="s">
        <v>370</v>
      </c>
      <c r="E32" s="8" t="s">
        <v>366</v>
      </c>
      <c r="F32" s="15" t="s">
        <v>323</v>
      </c>
      <c r="G32" s="15" t="s">
        <v>324</v>
      </c>
      <c r="H32" s="16">
        <f>IF(OR(F32="",G32=""),"",NETWORKDAYS.INTL(F32,G32,1,'Schedule Calendar'!$H$6:$H$30))</f>
        <v>10</v>
      </c>
      <c r="I32" s="15"/>
      <c r="J32" s="15"/>
      <c r="K32" s="16" t="str">
        <f>IF(OR(I32="",J32=""),"",NETWORKDAYS.INTL(I32,J32,1,'Schedule Calendar'!$H$6:$H$30))</f>
        <v/>
      </c>
      <c r="L32" s="15">
        <f>IF(I32&lt;&gt;"",I32,MAX(F32,WORKDAY(MAX(M30),1,'Schedule Calendar'!$H$6:$H$30)))</f>
        <v>46345</v>
      </c>
      <c r="M32" s="15">
        <f>IF(J32&lt;&gt;"",J32,IF(OR(L32="",H32=""),"",WORKDAY(L32,H32-1,'Schedule Calendar'!$H$6:$H$30)))</f>
        <v>46358</v>
      </c>
      <c r="N32" s="16">
        <f>IF(OR(L32="",M32=""),"",NETWORKDAYS.INTL(L32,M32,1,'Schedule Calendar'!$H$6:$H$30))</f>
        <v>10</v>
      </c>
      <c r="O32" s="1" t="s">
        <v>374</v>
      </c>
      <c r="P32" s="1" t="s">
        <v>38</v>
      </c>
      <c r="Q32" s="1" t="s">
        <v>36</v>
      </c>
      <c r="R32" s="8" t="s">
        <v>36</v>
      </c>
      <c r="S32" s="8" t="s">
        <v>375</v>
      </c>
      <c r="T32" s="8" t="s">
        <v>252</v>
      </c>
      <c r="U32" s="1"/>
      <c r="V32" s="1"/>
    </row>
    <row r="33" spans="1:22" ht="28.8" x14ac:dyDescent="0.3">
      <c r="A33" s="12" t="s">
        <v>67</v>
      </c>
      <c r="B33" s="5" t="s">
        <v>365</v>
      </c>
      <c r="C33" s="12" t="s">
        <v>346</v>
      </c>
      <c r="D33" s="5" t="s">
        <v>34</v>
      </c>
      <c r="E33" s="8" t="s">
        <v>62</v>
      </c>
      <c r="F33" s="13" t="str">
        <f>IF(COUNT(F34:F36)=0,"",MIN(F34:F36))</f>
        <v/>
      </c>
      <c r="G33" s="13" t="str">
        <f>IF(COUNT(G34:G36)=0,"",MAX(G34:G36))</f>
        <v/>
      </c>
      <c r="H33" s="14" t="str">
        <f>IF(OR(F33="",G33=""),"",NETWORKDAYS.INTL(F33,G33,1,'Schedule Calendar'!$H$6:$H$30))</f>
        <v/>
      </c>
      <c r="I33" s="13" t="str">
        <f>IF(COUNT(I34:I36)=0,"",MIN(I34:I36))</f>
        <v/>
      </c>
      <c r="J33" s="13"/>
      <c r="K33" s="14" t="str">
        <f>IF(OR(I33="",J33=""),"",NETWORKDAYS.INTL(I33,J33,1,'Schedule Calendar'!$H$6:$H$30))</f>
        <v/>
      </c>
      <c r="L33" s="13">
        <f>IFERROR(MIN(L34:L36),"")</f>
        <v>46359</v>
      </c>
      <c r="M33" s="13">
        <f>IFERROR(MAX(M34:M36),"")</f>
        <v>46367</v>
      </c>
      <c r="N33" s="14">
        <f>IF(OR(L33="",M33=""),"",NETWORKDAYS.INTL(L33,M33,1,'Schedule Calendar'!$H$6:$H$30))</f>
        <v>7</v>
      </c>
      <c r="O33" s="5" t="s">
        <v>241</v>
      </c>
      <c r="P33" s="5" t="str">
        <f>IF(COUNTIF(P34:P36,"Red")&gt;0,"Red",IF(COUNTIF(P34:P36,"Amber")&gt;0,"Amber",IF(COUNTIF(P34:P36,"Blocked")&gt;0,"Blocked",IF(COUNTIF(P34:P36,"Complete")=ROWS(P34:P36),"Complete",IF(COUNTIF(P34:P36,"Green")&gt;0,"Green","Not Started")))))</f>
        <v>Not Started</v>
      </c>
      <c r="Q33" s="5" t="str">
        <f>IF(COUNTIF(Q34:Q36,"Yes")&gt;0,"Yes","No")</f>
        <v>Yes</v>
      </c>
      <c r="R33" s="8" t="str">
        <f>IF(COUNTIF(R34:R36,"Yes")&gt;0,"Yes","No")</f>
        <v>Yes</v>
      </c>
      <c r="S33" s="8" t="s">
        <v>243</v>
      </c>
      <c r="T33" s="8" t="s">
        <v>244</v>
      </c>
      <c r="U33" s="5"/>
      <c r="V33" s="5"/>
    </row>
    <row r="34" spans="1:22" ht="28.8" outlineLevel="1" x14ac:dyDescent="0.3">
      <c r="A34" s="10" t="s">
        <v>376</v>
      </c>
      <c r="B34" s="1" t="s">
        <v>365</v>
      </c>
      <c r="C34" s="1" t="s">
        <v>377</v>
      </c>
      <c r="D34" s="1" t="s">
        <v>34</v>
      </c>
      <c r="E34" s="8" t="s">
        <v>62</v>
      </c>
      <c r="F34" s="15" t="s">
        <v>349</v>
      </c>
      <c r="G34" s="15" t="s">
        <v>350</v>
      </c>
      <c r="H34" s="16">
        <f>IF(OR(F34="",G34=""),"",NETWORKDAYS.INTL(F34,G34,1,'Schedule Calendar'!$H$6:$H$30))</f>
        <v>2</v>
      </c>
      <c r="I34" s="15"/>
      <c r="J34" s="15"/>
      <c r="K34" s="16" t="str">
        <f>IF(OR(I34="",J34=""),"",NETWORKDAYS.INTL(I34,J34,1,'Schedule Calendar'!$H$6:$H$30))</f>
        <v/>
      </c>
      <c r="L34" s="15">
        <f>IF(I34&lt;&gt;"",I34,MAX(F34,WORKDAY(MAX(M29),1,'Schedule Calendar'!$H$6:$H$30)))</f>
        <v>46359</v>
      </c>
      <c r="M34" s="15">
        <f>IF(J34&lt;&gt;"",J34,IF(OR(L34="",H34=""),"",WORKDAY(L34,H34-1,'Schedule Calendar'!$H$6:$H$30)))</f>
        <v>46360</v>
      </c>
      <c r="N34" s="16">
        <f>IF(OR(L34="",M34=""),"",NETWORKDAYS.INTL(L34,M34,1,'Schedule Calendar'!$H$6:$H$30))</f>
        <v>2</v>
      </c>
      <c r="O34" s="1" t="s">
        <v>378</v>
      </c>
      <c r="P34" s="1" t="s">
        <v>38</v>
      </c>
      <c r="Q34" s="1" t="s">
        <v>36</v>
      </c>
      <c r="R34" s="8" t="s">
        <v>36</v>
      </c>
      <c r="S34" s="8" t="s">
        <v>379</v>
      </c>
      <c r="T34" s="8" t="s">
        <v>353</v>
      </c>
      <c r="U34" s="1"/>
      <c r="V34" s="1"/>
    </row>
    <row r="35" spans="1:22" outlineLevel="1" x14ac:dyDescent="0.3">
      <c r="A35" s="10" t="s">
        <v>380</v>
      </c>
      <c r="B35" s="1" t="s">
        <v>365</v>
      </c>
      <c r="C35" s="1" t="s">
        <v>381</v>
      </c>
      <c r="D35" s="1" t="s">
        <v>317</v>
      </c>
      <c r="E35" s="8" t="s">
        <v>376</v>
      </c>
      <c r="F35" s="15" t="s">
        <v>350</v>
      </c>
      <c r="G35" s="15" t="s">
        <v>356</v>
      </c>
      <c r="H35" s="16">
        <f>IF(OR(F35="",G35=""),"",NETWORKDAYS.INTL(F35,G35,1,'Schedule Calendar'!$H$6:$H$30))</f>
        <v>3</v>
      </c>
      <c r="I35" s="15"/>
      <c r="J35" s="15"/>
      <c r="K35" s="16" t="str">
        <f>IF(OR(I35="",J35=""),"",NETWORKDAYS.INTL(I35,J35,1,'Schedule Calendar'!$H$6:$H$30))</f>
        <v/>
      </c>
      <c r="L35" s="15">
        <f>IF(I35&lt;&gt;"",I35,MAX(F35,WORKDAY(MAX(M34),1,'Schedule Calendar'!$H$6:$H$30)))</f>
        <v>46363</v>
      </c>
      <c r="M35" s="15">
        <f>IF(J35&lt;&gt;"",J35,IF(OR(L35="",H35=""),"",WORKDAY(L35,H35-1,'Schedule Calendar'!$H$6:$H$30)))</f>
        <v>46365</v>
      </c>
      <c r="N35" s="16">
        <f>IF(OR(L35="",M35=""),"",NETWORKDAYS.INTL(L35,M35,1,'Schedule Calendar'!$H$6:$H$30))</f>
        <v>3</v>
      </c>
      <c r="O35" s="1" t="s">
        <v>382</v>
      </c>
      <c r="P35" s="1" t="s">
        <v>38</v>
      </c>
      <c r="Q35" s="1" t="s">
        <v>36</v>
      </c>
      <c r="R35" s="8" t="s">
        <v>36</v>
      </c>
      <c r="S35" s="8" t="s">
        <v>383</v>
      </c>
      <c r="T35" s="8" t="s">
        <v>359</v>
      </c>
      <c r="U35" s="1"/>
      <c r="V35" s="1"/>
    </row>
    <row r="36" spans="1:22" outlineLevel="1" x14ac:dyDescent="0.3">
      <c r="A36" s="10" t="s">
        <v>384</v>
      </c>
      <c r="B36" s="1" t="s">
        <v>365</v>
      </c>
      <c r="C36" s="1" t="s">
        <v>385</v>
      </c>
      <c r="D36" s="1" t="s">
        <v>34</v>
      </c>
      <c r="E36" s="8" t="s">
        <v>380</v>
      </c>
      <c r="F36" s="15" t="s">
        <v>356</v>
      </c>
      <c r="G36" s="15" t="s">
        <v>362</v>
      </c>
      <c r="H36" s="16">
        <f>IF(OR(F36="",G36=""),"",NETWORKDAYS.INTL(F36,G36,1,'Schedule Calendar'!$H$6:$H$30))</f>
        <v>2</v>
      </c>
      <c r="I36" s="15"/>
      <c r="J36" s="15"/>
      <c r="K36" s="16" t="str">
        <f>IF(OR(I36="",J36=""),"",NETWORKDAYS.INTL(I36,J36,1,'Schedule Calendar'!$H$6:$H$30))</f>
        <v/>
      </c>
      <c r="L36" s="15">
        <f>IF(I36&lt;&gt;"",I36,MAX(F36,WORKDAY(MAX(M35),1,'Schedule Calendar'!$H$6:$H$30)))</f>
        <v>46366</v>
      </c>
      <c r="M36" s="15">
        <f>IF(J36&lt;&gt;"",J36,IF(OR(L36="",H36=""),"",WORKDAY(L36,H36-1,'Schedule Calendar'!$H$6:$H$30)))</f>
        <v>46367</v>
      </c>
      <c r="N36" s="16">
        <f>IF(OR(L36="",M36=""),"",NETWORKDAYS.INTL(L36,M36,1,'Schedule Calendar'!$H$6:$H$30))</f>
        <v>2</v>
      </c>
      <c r="O36" s="1" t="s">
        <v>386</v>
      </c>
      <c r="P36" s="1" t="s">
        <v>38</v>
      </c>
      <c r="Q36" s="1" t="s">
        <v>36</v>
      </c>
      <c r="R36" s="8" t="s">
        <v>262</v>
      </c>
      <c r="S36" s="8" t="s">
        <v>387</v>
      </c>
      <c r="T36" s="8" t="s">
        <v>359</v>
      </c>
      <c r="U36" s="1"/>
      <c r="V36" s="1"/>
    </row>
    <row r="37" spans="1:22" ht="28.8" x14ac:dyDescent="0.3">
      <c r="A37" s="12" t="s">
        <v>69</v>
      </c>
      <c r="B37" s="5" t="s">
        <v>388</v>
      </c>
      <c r="C37" s="12" t="s">
        <v>70</v>
      </c>
      <c r="D37" s="5" t="s">
        <v>48</v>
      </c>
      <c r="E37" s="8" t="s">
        <v>67</v>
      </c>
      <c r="F37" s="13" t="str">
        <f>IF(COUNT(F38:F40)=0,"",MIN(F38:F40))</f>
        <v/>
      </c>
      <c r="G37" s="13" t="str">
        <f>IF(COUNT(G38:G40)=0,"",MAX(G38:G40))</f>
        <v/>
      </c>
      <c r="H37" s="14" t="str">
        <f>IF(OR(F37="",G37=""),"",NETWORKDAYS.INTL(F37,G37,1,'Schedule Calendar'!$H$6:$H$30))</f>
        <v/>
      </c>
      <c r="I37" s="13" t="str">
        <f>IF(COUNT(I38:I40)=0,"",MIN(I38:I40))</f>
        <v/>
      </c>
      <c r="J37" s="13"/>
      <c r="K37" s="14" t="str">
        <f>IF(OR(I37="",J37=""),"",NETWORKDAYS.INTL(I37,J37,1,'Schedule Calendar'!$H$6:$H$30))</f>
        <v/>
      </c>
      <c r="L37" s="13">
        <f>IFERROR(MIN(L38:L40),"")</f>
        <v>46405</v>
      </c>
      <c r="M37" s="13">
        <f>IFERROR(MAX(M38:M40),"")</f>
        <v>46428</v>
      </c>
      <c r="N37" s="14">
        <f>IF(OR(L37="",M37=""),"",NETWORKDAYS.INTL(L37,M37,1,'Schedule Calendar'!$H$6:$H$30))</f>
        <v>18</v>
      </c>
      <c r="O37" s="5" t="s">
        <v>241</v>
      </c>
      <c r="P37" s="5" t="str">
        <f>IF(COUNTIF(P38:P40,"Red")&gt;0,"Red",IF(COUNTIF(P38:P40,"Amber")&gt;0,"Amber",IF(COUNTIF(P38:P40,"Blocked")&gt;0,"Blocked",IF(COUNTIF(P38:P40,"Complete")=ROWS(P38:P40),"Complete",IF(COUNTIF(P38:P40,"Green")&gt;0,"Green","Not Started")))))</f>
        <v>Not Started</v>
      </c>
      <c r="Q37" s="5" t="str">
        <f>IF(COUNTIF(Q38:Q40,"Yes")&gt;0,"Yes","No")</f>
        <v>Yes</v>
      </c>
      <c r="R37" s="8" t="str">
        <f>IF(COUNTIF(R38:R40,"Yes")&gt;0,"Yes","No")</f>
        <v>Yes</v>
      </c>
      <c r="S37" s="8" t="s">
        <v>243</v>
      </c>
      <c r="T37" s="8" t="s">
        <v>244</v>
      </c>
      <c r="U37" s="5"/>
      <c r="V37" s="5"/>
    </row>
    <row r="38" spans="1:22" ht="28.8" outlineLevel="1" x14ac:dyDescent="0.3">
      <c r="A38" s="10" t="s">
        <v>389</v>
      </c>
      <c r="B38" s="1" t="s">
        <v>388</v>
      </c>
      <c r="C38" s="1" t="s">
        <v>390</v>
      </c>
      <c r="D38" s="1" t="s">
        <v>48</v>
      </c>
      <c r="E38" s="8" t="s">
        <v>391</v>
      </c>
      <c r="F38" s="15" t="s">
        <v>392</v>
      </c>
      <c r="G38" s="15" t="s">
        <v>393</v>
      </c>
      <c r="H38" s="16">
        <f>IF(OR(F38="",G38=""),"",NETWORKDAYS.INTL(F38,G38,1,'Schedule Calendar'!$H$6:$H$30))</f>
        <v>7</v>
      </c>
      <c r="I38" s="15"/>
      <c r="J38" s="15"/>
      <c r="K38" s="16" t="str">
        <f>IF(OR(I38="",J38=""),"",NETWORKDAYS.INTL(I38,J38,1,'Schedule Calendar'!$H$6:$H$30))</f>
        <v/>
      </c>
      <c r="L38" s="15">
        <f>IF(I38&lt;&gt;"",I38,MAX(F38,WORKDAY(MAX(M25,M33),1,'Schedule Calendar'!$H$6:$H$30)))</f>
        <v>46405</v>
      </c>
      <c r="M38" s="15">
        <f>IF(J38&lt;&gt;"",J38,IF(OR(L38="",H38=""),"",WORKDAY(L38,H38-1,'Schedule Calendar'!$H$6:$H$30)))</f>
        <v>46413</v>
      </c>
      <c r="N38" s="16">
        <f>IF(OR(L38="",M38=""),"",NETWORKDAYS.INTL(L38,M38,1,'Schedule Calendar'!$H$6:$H$30))</f>
        <v>7</v>
      </c>
      <c r="O38" s="1" t="s">
        <v>394</v>
      </c>
      <c r="P38" s="1" t="s">
        <v>38</v>
      </c>
      <c r="Q38" s="1" t="s">
        <v>36</v>
      </c>
      <c r="R38" s="8" t="s">
        <v>262</v>
      </c>
      <c r="S38" s="8" t="s">
        <v>395</v>
      </c>
      <c r="T38" s="8" t="s">
        <v>396</v>
      </c>
      <c r="U38" s="1"/>
      <c r="V38" s="1"/>
    </row>
    <row r="39" spans="1:22" ht="28.8" outlineLevel="1" x14ac:dyDescent="0.3">
      <c r="A39" s="10" t="s">
        <v>397</v>
      </c>
      <c r="B39" s="1" t="s">
        <v>388</v>
      </c>
      <c r="C39" s="1" t="s">
        <v>398</v>
      </c>
      <c r="D39" s="1" t="s">
        <v>399</v>
      </c>
      <c r="E39" s="8" t="s">
        <v>389</v>
      </c>
      <c r="F39" s="15" t="s">
        <v>392</v>
      </c>
      <c r="G39" s="15" t="s">
        <v>400</v>
      </c>
      <c r="H39" s="16">
        <f>IF(OR(F39="",G39=""),"",NETWORKDAYS.INTL(F39,G39,1,'Schedule Calendar'!$H$6:$H$30))</f>
        <v>8</v>
      </c>
      <c r="I39" s="15"/>
      <c r="J39" s="15"/>
      <c r="K39" s="16" t="str">
        <f>IF(OR(I39="",J39=""),"",NETWORKDAYS.INTL(I39,J39,1,'Schedule Calendar'!$H$6:$H$30))</f>
        <v/>
      </c>
      <c r="L39" s="15">
        <f>IF(I39&lt;&gt;"",I39,MAX(F39,WORKDAY(MAX(M38),1,'Schedule Calendar'!$H$6:$H$30)))</f>
        <v>46414</v>
      </c>
      <c r="M39" s="15">
        <f>IF(J39&lt;&gt;"",J39,IF(OR(L39="",H39=""),"",WORKDAY(L39,H39-1,'Schedule Calendar'!$H$6:$H$30)))</f>
        <v>46423</v>
      </c>
      <c r="N39" s="16">
        <f>IF(OR(L39="",M39=""),"",NETWORKDAYS.INTL(L39,M39,1,'Schedule Calendar'!$H$6:$H$30))</f>
        <v>8</v>
      </c>
      <c r="O39" s="1" t="s">
        <v>401</v>
      </c>
      <c r="P39" s="1" t="s">
        <v>38</v>
      </c>
      <c r="Q39" s="1" t="s">
        <v>36</v>
      </c>
      <c r="R39" s="8" t="s">
        <v>262</v>
      </c>
      <c r="S39" s="8" t="s">
        <v>402</v>
      </c>
      <c r="T39" s="8" t="s">
        <v>396</v>
      </c>
      <c r="U39" s="1"/>
      <c r="V39" s="1"/>
    </row>
    <row r="40" spans="1:22" ht="28.8" outlineLevel="1" x14ac:dyDescent="0.3">
      <c r="A40" s="10" t="s">
        <v>403</v>
      </c>
      <c r="B40" s="1" t="s">
        <v>388</v>
      </c>
      <c r="C40" s="1" t="s">
        <v>404</v>
      </c>
      <c r="D40" s="1" t="s">
        <v>405</v>
      </c>
      <c r="E40" s="8" t="s">
        <v>406</v>
      </c>
      <c r="F40" s="15" t="s">
        <v>400</v>
      </c>
      <c r="G40" s="15" t="s">
        <v>407</v>
      </c>
      <c r="H40" s="16">
        <f>IF(OR(F40="",G40=""),"",NETWORKDAYS.INTL(F40,G40,1,'Schedule Calendar'!$H$6:$H$30))</f>
        <v>3</v>
      </c>
      <c r="I40" s="15"/>
      <c r="J40" s="15"/>
      <c r="K40" s="16" t="str">
        <f>IF(OR(I40="",J40=""),"",NETWORKDAYS.INTL(I40,J40,1,'Schedule Calendar'!$H$6:$H$30))</f>
        <v/>
      </c>
      <c r="L40" s="15">
        <f>IF(I40&lt;&gt;"",I40,MAX(F40,WORKDAY(MAX(M38,M39),1,'Schedule Calendar'!$H$6:$H$30)))</f>
        <v>46426</v>
      </c>
      <c r="M40" s="15">
        <f>IF(J40&lt;&gt;"",J40,IF(OR(L40="",H40=""),"",WORKDAY(L40,H40-1,'Schedule Calendar'!$H$6:$H$30)))</f>
        <v>46428</v>
      </c>
      <c r="N40" s="16">
        <f>IF(OR(L40="",M40=""),"",NETWORKDAYS.INTL(L40,M40,1,'Schedule Calendar'!$H$6:$H$30))</f>
        <v>3</v>
      </c>
      <c r="O40" s="1" t="s">
        <v>408</v>
      </c>
      <c r="P40" s="1" t="s">
        <v>38</v>
      </c>
      <c r="Q40" s="1" t="s">
        <v>36</v>
      </c>
      <c r="R40" s="8" t="s">
        <v>36</v>
      </c>
      <c r="S40" s="8" t="s">
        <v>409</v>
      </c>
      <c r="T40" s="8" t="s">
        <v>410</v>
      </c>
      <c r="U40" s="1"/>
      <c r="V40" s="1"/>
    </row>
    <row r="41" spans="1:22" ht="28.8" x14ac:dyDescent="0.3">
      <c r="A41" s="12" t="s">
        <v>75</v>
      </c>
      <c r="B41" s="5" t="s">
        <v>411</v>
      </c>
      <c r="C41" s="12" t="s">
        <v>76</v>
      </c>
      <c r="D41" s="5" t="s">
        <v>78</v>
      </c>
      <c r="E41" s="8" t="s">
        <v>69</v>
      </c>
      <c r="F41" s="13" t="str">
        <f>IF(COUNT(F42:F45)=0,"",MIN(F42:F45))</f>
        <v/>
      </c>
      <c r="G41" s="13" t="str">
        <f>IF(COUNT(G42:G45)=0,"",MAX(G42:G45))</f>
        <v/>
      </c>
      <c r="H41" s="14" t="str">
        <f>IF(OR(F41="",G41=""),"",NETWORKDAYS.INTL(F41,G41,1,'Schedule Calendar'!$H$6:$H$30))</f>
        <v/>
      </c>
      <c r="I41" s="13" t="str">
        <f>IF(COUNT(I42:I45)=0,"",MIN(I42:I45))</f>
        <v/>
      </c>
      <c r="J41" s="13"/>
      <c r="K41" s="14" t="str">
        <f>IF(OR(I41="",J41=""),"",NETWORKDAYS.INTL(I41,J41,1,'Schedule Calendar'!$H$6:$H$30))</f>
        <v/>
      </c>
      <c r="L41" s="13">
        <f>IFERROR(MIN(L42:L45),"")</f>
        <v>46429</v>
      </c>
      <c r="M41" s="13">
        <f>IFERROR(MAX(M42:M45),"")</f>
        <v>46458</v>
      </c>
      <c r="N41" s="14">
        <f>IF(OR(L41="",M41=""),"",NETWORKDAYS.INTL(L41,M41,1,'Schedule Calendar'!$H$6:$H$30))</f>
        <v>22</v>
      </c>
      <c r="O41" s="5" t="s">
        <v>241</v>
      </c>
      <c r="P41" s="5" t="str">
        <f>IF(COUNTIF(P42:P45,"Red")&gt;0,"Red",IF(COUNTIF(P42:P45,"Amber")&gt;0,"Amber",IF(COUNTIF(P42:P45,"Blocked")&gt;0,"Blocked",IF(COUNTIF(P42:P45,"Complete")=ROWS(P42:P45),"Complete",IF(COUNTIF(P42:P45,"Green")&gt;0,"Green","Not Started")))))</f>
        <v>Not Started</v>
      </c>
      <c r="Q41" s="5" t="str">
        <f>IF(COUNTIF(Q42:Q45,"Yes")&gt;0,"Yes","No")</f>
        <v>Yes</v>
      </c>
      <c r="R41" s="8" t="str">
        <f>IF(COUNTIF(R42:R45,"Yes")&gt;0,"Yes","No")</f>
        <v>Yes</v>
      </c>
      <c r="S41" s="8" t="s">
        <v>243</v>
      </c>
      <c r="T41" s="8" t="s">
        <v>244</v>
      </c>
      <c r="U41" s="5"/>
      <c r="V41" s="5"/>
    </row>
    <row r="42" spans="1:22" ht="28.8" outlineLevel="1" x14ac:dyDescent="0.3">
      <c r="A42" s="10" t="s">
        <v>412</v>
      </c>
      <c r="B42" s="1" t="s">
        <v>411</v>
      </c>
      <c r="C42" s="1" t="s">
        <v>413</v>
      </c>
      <c r="D42" s="1" t="s">
        <v>414</v>
      </c>
      <c r="E42" s="8" t="s">
        <v>69</v>
      </c>
      <c r="F42" s="15" t="s">
        <v>392</v>
      </c>
      <c r="G42" s="15" t="s">
        <v>415</v>
      </c>
      <c r="H42" s="16">
        <f>IF(OR(F42="",G42=""),"",NETWORKDAYS.INTL(F42,G42,1,'Schedule Calendar'!$H$6:$H$30))</f>
        <v>5</v>
      </c>
      <c r="I42" s="15"/>
      <c r="J42" s="15"/>
      <c r="K42" s="16" t="str">
        <f>IF(OR(I42="",J42=""),"",NETWORKDAYS.INTL(I42,J42,1,'Schedule Calendar'!$H$6:$H$30))</f>
        <v/>
      </c>
      <c r="L42" s="15">
        <f>IF(I42&lt;&gt;"",I42,MAX(F42,WORKDAY(MAX(M37),1,'Schedule Calendar'!$H$6:$H$30)))</f>
        <v>46429</v>
      </c>
      <c r="M42" s="15">
        <f>IF(J42&lt;&gt;"",J42,IF(OR(L42="",H42=""),"",WORKDAY(L42,H42-1,'Schedule Calendar'!$H$6:$H$30)))</f>
        <v>46435</v>
      </c>
      <c r="N42" s="16">
        <f>IF(OR(L42="",M42=""),"",NETWORKDAYS.INTL(L42,M42,1,'Schedule Calendar'!$H$6:$H$30))</f>
        <v>5</v>
      </c>
      <c r="O42" s="1" t="s">
        <v>416</v>
      </c>
      <c r="P42" s="1" t="s">
        <v>38</v>
      </c>
      <c r="Q42" s="1" t="s">
        <v>36</v>
      </c>
      <c r="R42" s="8" t="s">
        <v>36</v>
      </c>
      <c r="S42" s="8" t="s">
        <v>417</v>
      </c>
      <c r="T42" s="8" t="s">
        <v>418</v>
      </c>
      <c r="U42" s="1"/>
      <c r="V42" s="1"/>
    </row>
    <row r="43" spans="1:22" outlineLevel="1" x14ac:dyDescent="0.3">
      <c r="A43" s="10" t="s">
        <v>419</v>
      </c>
      <c r="B43" s="1" t="s">
        <v>411</v>
      </c>
      <c r="C43" s="1" t="s">
        <v>420</v>
      </c>
      <c r="D43" s="1" t="s">
        <v>414</v>
      </c>
      <c r="E43" s="8" t="s">
        <v>412</v>
      </c>
      <c r="F43" s="15" t="s">
        <v>421</v>
      </c>
      <c r="G43" s="15" t="s">
        <v>400</v>
      </c>
      <c r="H43" s="16">
        <f>IF(OR(F43="",G43=""),"",NETWORKDAYS.INTL(F43,G43,1,'Schedule Calendar'!$H$6:$H$30))</f>
        <v>5</v>
      </c>
      <c r="I43" s="15"/>
      <c r="J43" s="15"/>
      <c r="K43" s="16" t="str">
        <f>IF(OR(I43="",J43=""),"",NETWORKDAYS.INTL(I43,J43,1,'Schedule Calendar'!$H$6:$H$30))</f>
        <v/>
      </c>
      <c r="L43" s="15">
        <f>IF(I43&lt;&gt;"",I43,MAX(F43,WORKDAY(MAX(M42),1,'Schedule Calendar'!$H$6:$H$30)))</f>
        <v>46436</v>
      </c>
      <c r="M43" s="15">
        <f>IF(J43&lt;&gt;"",J43,IF(OR(L43="",H43=""),"",WORKDAY(L43,H43-1,'Schedule Calendar'!$H$6:$H$30)))</f>
        <v>46442</v>
      </c>
      <c r="N43" s="16">
        <f>IF(OR(L43="",M43=""),"",NETWORKDAYS.INTL(L43,M43,1,'Schedule Calendar'!$H$6:$H$30))</f>
        <v>5</v>
      </c>
      <c r="O43" s="1" t="s">
        <v>422</v>
      </c>
      <c r="P43" s="1" t="s">
        <v>38</v>
      </c>
      <c r="Q43" s="1" t="s">
        <v>36</v>
      </c>
      <c r="R43" s="8" t="s">
        <v>36</v>
      </c>
      <c r="S43" s="8" t="s">
        <v>423</v>
      </c>
      <c r="T43" s="8" t="s">
        <v>418</v>
      </c>
      <c r="U43" s="1"/>
      <c r="V43" s="1"/>
    </row>
    <row r="44" spans="1:22" ht="28.8" outlineLevel="1" x14ac:dyDescent="0.3">
      <c r="A44" s="10" t="s">
        <v>424</v>
      </c>
      <c r="B44" s="1" t="s">
        <v>411</v>
      </c>
      <c r="C44" s="1" t="s">
        <v>425</v>
      </c>
      <c r="D44" s="1" t="s">
        <v>426</v>
      </c>
      <c r="E44" s="8" t="s">
        <v>412</v>
      </c>
      <c r="F44" s="15" t="s">
        <v>421</v>
      </c>
      <c r="G44" s="15" t="s">
        <v>427</v>
      </c>
      <c r="H44" s="16">
        <f>IF(OR(F44="",G44=""),"",NETWORKDAYS.INTL(F44,G44,1,'Schedule Calendar'!$H$6:$H$30))</f>
        <v>12</v>
      </c>
      <c r="I44" s="15"/>
      <c r="J44" s="15"/>
      <c r="K44" s="16" t="str">
        <f>IF(OR(I44="",J44=""),"",NETWORKDAYS.INTL(I44,J44,1,'Schedule Calendar'!$H$6:$H$30))</f>
        <v/>
      </c>
      <c r="L44" s="15">
        <f>IF(I44&lt;&gt;"",I44,MAX(F44,WORKDAY(MAX(M42),1,'Schedule Calendar'!$H$6:$H$30)))</f>
        <v>46436</v>
      </c>
      <c r="M44" s="15">
        <f>IF(J44&lt;&gt;"",J44,IF(OR(L44="",H44=""),"",WORKDAY(L44,H44-1,'Schedule Calendar'!$H$6:$H$30)))</f>
        <v>46451</v>
      </c>
      <c r="N44" s="16">
        <f>IF(OR(L44="",M44=""),"",NETWORKDAYS.INTL(L44,M44,1,'Schedule Calendar'!$H$6:$H$30))</f>
        <v>12</v>
      </c>
      <c r="O44" s="1" t="s">
        <v>428</v>
      </c>
      <c r="P44" s="1" t="s">
        <v>38</v>
      </c>
      <c r="Q44" s="1" t="s">
        <v>36</v>
      </c>
      <c r="R44" s="8" t="s">
        <v>36</v>
      </c>
      <c r="S44" s="8" t="s">
        <v>429</v>
      </c>
      <c r="T44" s="8" t="s">
        <v>418</v>
      </c>
      <c r="U44" s="1"/>
      <c r="V44" s="1"/>
    </row>
    <row r="45" spans="1:22" ht="28.8" outlineLevel="1" x14ac:dyDescent="0.3">
      <c r="A45" s="10" t="s">
        <v>430</v>
      </c>
      <c r="B45" s="1" t="s">
        <v>411</v>
      </c>
      <c r="C45" s="1" t="s">
        <v>431</v>
      </c>
      <c r="D45" s="1" t="s">
        <v>432</v>
      </c>
      <c r="E45" s="8" t="s">
        <v>433</v>
      </c>
      <c r="F45" s="15" t="s">
        <v>434</v>
      </c>
      <c r="G45" s="15" t="s">
        <v>427</v>
      </c>
      <c r="H45" s="16">
        <f>IF(OR(F45="",G45=""),"",NETWORKDAYS.INTL(F45,G45,1,'Schedule Calendar'!$H$6:$H$30))</f>
        <v>5</v>
      </c>
      <c r="I45" s="15"/>
      <c r="J45" s="15"/>
      <c r="K45" s="16" t="str">
        <f>IF(OR(I45="",J45=""),"",NETWORKDAYS.INTL(I45,J45,1,'Schedule Calendar'!$H$6:$H$30))</f>
        <v/>
      </c>
      <c r="L45" s="15">
        <f>IF(I45&lt;&gt;"",I45,MAX(F45,WORKDAY(MAX(M43,M44),1,'Schedule Calendar'!$H$6:$H$30)))</f>
        <v>46454</v>
      </c>
      <c r="M45" s="15">
        <f>IF(J45&lt;&gt;"",J45,IF(OR(L45="",H45=""),"",WORKDAY(L45,H45-1,'Schedule Calendar'!$H$6:$H$30)))</f>
        <v>46458</v>
      </c>
      <c r="N45" s="16">
        <f>IF(OR(L45="",M45=""),"",NETWORKDAYS.INTL(L45,M45,1,'Schedule Calendar'!$H$6:$H$30))</f>
        <v>5</v>
      </c>
      <c r="O45" s="1" t="s">
        <v>435</v>
      </c>
      <c r="P45" s="1" t="s">
        <v>38</v>
      </c>
      <c r="Q45" s="1" t="s">
        <v>36</v>
      </c>
      <c r="R45" s="8" t="s">
        <v>36</v>
      </c>
      <c r="S45" s="8" t="s">
        <v>436</v>
      </c>
      <c r="T45" s="8" t="s">
        <v>437</v>
      </c>
      <c r="U45" s="1"/>
      <c r="V45" s="1"/>
    </row>
    <row r="46" spans="1:22" ht="28.8" collapsed="1" x14ac:dyDescent="0.3">
      <c r="A46" s="12" t="s">
        <v>81</v>
      </c>
      <c r="B46" s="5" t="s">
        <v>438</v>
      </c>
      <c r="C46" s="12" t="s">
        <v>82</v>
      </c>
      <c r="D46" s="5" t="s">
        <v>34</v>
      </c>
      <c r="E46" s="8" t="s">
        <v>75</v>
      </c>
      <c r="F46" s="13" t="str">
        <f>IF(COUNT(F47:F53)=0,"",MIN(F47:F53))</f>
        <v/>
      </c>
      <c r="G46" s="13" t="str">
        <f>IF(COUNT(G47:G53)=0,"",MAX(G47:G53))</f>
        <v/>
      </c>
      <c r="H46" s="14" t="str">
        <f>IF(OR(F46="",G46=""),"",NETWORKDAYS.INTL(F46,G46,1,'Schedule Calendar'!$H$6:$H$30))</f>
        <v/>
      </c>
      <c r="I46" s="13" t="str">
        <f>IF(COUNT(I47:I53)=0,"",MIN(I47:I53))</f>
        <v/>
      </c>
      <c r="J46" s="13"/>
      <c r="K46" s="14" t="str">
        <f>IF(OR(I46="",J46=""),"",NETWORKDAYS.INTL(I46,J46,1,'Schedule Calendar'!$H$6:$H$30))</f>
        <v/>
      </c>
      <c r="L46" s="13">
        <f>IFERROR(MIN(L47:L53),"")</f>
        <v>46443</v>
      </c>
      <c r="M46" s="13">
        <f>IFERROR(MAX(M47:M53),"")</f>
        <v>46504</v>
      </c>
      <c r="N46" s="14">
        <f>IF(OR(L46="",M46=""),"",NETWORKDAYS.INTL(L46,M46,1,'Schedule Calendar'!$H$6:$H$30))</f>
        <v>44</v>
      </c>
      <c r="O46" s="5" t="s">
        <v>241</v>
      </c>
      <c r="P46" s="5" t="str">
        <f>IF(COUNTIF(P47:P53,"Red")&gt;0,"Red",IF(COUNTIF(P47:P53,"Amber")&gt;0,"Amber",IF(COUNTIF(P47:P53,"Blocked")&gt;0,"Blocked",IF(COUNTIF(P47:P53,"Complete")=ROWS(P47:P53),"Complete",IF(COUNTIF(P47:P53,"Green")&gt;0,"Green","Not Started")))))</f>
        <v>Not Started</v>
      </c>
      <c r="Q46" s="5" t="str">
        <f>IF(COUNTIF(Q47:Q53,"Yes")&gt;0,"Yes","No")</f>
        <v>Yes</v>
      </c>
      <c r="R46" s="8" t="str">
        <f>IF(COUNTIF(R47:R53,"Yes")&gt;0,"Yes","No")</f>
        <v>Yes</v>
      </c>
      <c r="S46" s="8" t="s">
        <v>243</v>
      </c>
      <c r="T46" s="8" t="s">
        <v>244</v>
      </c>
      <c r="U46" s="5"/>
      <c r="V46" s="5"/>
    </row>
    <row r="47" spans="1:22" hidden="1" outlineLevel="1" x14ac:dyDescent="0.3">
      <c r="A47" s="10" t="s">
        <v>439</v>
      </c>
      <c r="B47" s="1" t="s">
        <v>438</v>
      </c>
      <c r="C47" s="1" t="s">
        <v>440</v>
      </c>
      <c r="D47" s="1" t="s">
        <v>441</v>
      </c>
      <c r="E47" s="8" t="s">
        <v>75</v>
      </c>
      <c r="F47" s="15" t="s">
        <v>392</v>
      </c>
      <c r="G47" s="15" t="s">
        <v>442</v>
      </c>
      <c r="H47" s="16">
        <f>IF(OR(F47="",G47=""),"",NETWORKDAYS.INTL(F47,G47,1,'Schedule Calendar'!$H$6:$H$30))</f>
        <v>6</v>
      </c>
      <c r="I47" s="15"/>
      <c r="J47" s="15"/>
      <c r="K47" s="16" t="str">
        <f>IF(OR(I47="",J47=""),"",NETWORKDAYS.INTL(I47,J47,1,'Schedule Calendar'!$H$6:$H$30))</f>
        <v/>
      </c>
      <c r="L47" s="15">
        <f>IF(I47&lt;&gt;"",I47,MAX(F47,WORKDAY(MAX(M41),1,'Schedule Calendar'!$H$6:$H$30)))</f>
        <v>46461</v>
      </c>
      <c r="M47" s="15">
        <f>IF(J47&lt;&gt;"",J47,IF(OR(L47="",H47=""),"",WORKDAY(L47,H47-1,'Schedule Calendar'!$H$6:$H$30)))</f>
        <v>46468</v>
      </c>
      <c r="N47" s="16">
        <f>IF(OR(L47="",M47=""),"",NETWORKDAYS.INTL(L47,M47,1,'Schedule Calendar'!$H$6:$H$30))</f>
        <v>6</v>
      </c>
      <c r="O47" s="1" t="s">
        <v>443</v>
      </c>
      <c r="P47" s="1" t="s">
        <v>38</v>
      </c>
      <c r="Q47" s="1" t="s">
        <v>36</v>
      </c>
      <c r="R47" s="8" t="s">
        <v>36</v>
      </c>
      <c r="S47" s="8" t="s">
        <v>444</v>
      </c>
      <c r="T47" s="8" t="s">
        <v>418</v>
      </c>
      <c r="U47" s="1"/>
      <c r="V47" s="1"/>
    </row>
    <row r="48" spans="1:22" hidden="1" outlineLevel="1" x14ac:dyDescent="0.3">
      <c r="A48" s="10" t="s">
        <v>445</v>
      </c>
      <c r="B48" s="1" t="s">
        <v>438</v>
      </c>
      <c r="C48" s="1" t="s">
        <v>446</v>
      </c>
      <c r="D48" s="1" t="s">
        <v>414</v>
      </c>
      <c r="E48" s="8" t="s">
        <v>447</v>
      </c>
      <c r="F48" s="15" t="s">
        <v>392</v>
      </c>
      <c r="G48" s="15" t="s">
        <v>400</v>
      </c>
      <c r="H48" s="16">
        <f>IF(OR(F48="",G48=""),"",NETWORKDAYS.INTL(F48,G48,1,'Schedule Calendar'!$H$6:$H$30))</f>
        <v>8</v>
      </c>
      <c r="I48" s="15"/>
      <c r="J48" s="15"/>
      <c r="K48" s="16" t="str">
        <f>IF(OR(I48="",J48=""),"",NETWORKDAYS.INTL(I48,J48,1,'Schedule Calendar'!$H$6:$H$30))</f>
        <v/>
      </c>
      <c r="L48" s="15">
        <f>IF(I48&lt;&gt;"",I48,MAX(F48,WORKDAY(MAX(M42,M43),1,'Schedule Calendar'!$H$6:$H$30)))</f>
        <v>46443</v>
      </c>
      <c r="M48" s="15">
        <f>IF(J48&lt;&gt;"",J48,IF(OR(L48="",H48=""),"",WORKDAY(L48,H48-1,'Schedule Calendar'!$H$6:$H$30)))</f>
        <v>46454</v>
      </c>
      <c r="N48" s="16">
        <f>IF(OR(L48="",M48=""),"",NETWORKDAYS.INTL(L48,M48,1,'Schedule Calendar'!$H$6:$H$30))</f>
        <v>8</v>
      </c>
      <c r="O48" s="1" t="s">
        <v>448</v>
      </c>
      <c r="P48" s="1" t="s">
        <v>38</v>
      </c>
      <c r="Q48" s="1" t="s">
        <v>36</v>
      </c>
      <c r="R48" s="8" t="s">
        <v>36</v>
      </c>
      <c r="S48" s="8" t="s">
        <v>449</v>
      </c>
      <c r="T48" s="8" t="s">
        <v>418</v>
      </c>
      <c r="U48" s="1"/>
      <c r="V48" s="1"/>
    </row>
    <row r="49" spans="1:22" ht="28.8" hidden="1" outlineLevel="1" x14ac:dyDescent="0.3">
      <c r="A49" s="10" t="s">
        <v>450</v>
      </c>
      <c r="B49" s="1" t="s">
        <v>438</v>
      </c>
      <c r="C49" s="1" t="s">
        <v>451</v>
      </c>
      <c r="D49" s="1" t="s">
        <v>441</v>
      </c>
      <c r="E49" s="8" t="s">
        <v>445</v>
      </c>
      <c r="F49" s="15" t="s">
        <v>442</v>
      </c>
      <c r="G49" s="15" t="s">
        <v>407</v>
      </c>
      <c r="H49" s="16">
        <f>IF(OR(F49="",G49=""),"",NETWORKDAYS.INTL(F49,G49,1,'Schedule Calendar'!$H$6:$H$30))</f>
        <v>5</v>
      </c>
      <c r="I49" s="15"/>
      <c r="J49" s="15"/>
      <c r="K49" s="16" t="str">
        <f>IF(OR(I49="",J49=""),"",NETWORKDAYS.INTL(I49,J49,1,'Schedule Calendar'!$H$6:$H$30))</f>
        <v/>
      </c>
      <c r="L49" s="15">
        <f>IF(I49&lt;&gt;"",I49,MAX(F49,WORKDAY(MAX(M48),1,'Schedule Calendar'!$H$6:$H$30)))</f>
        <v>46455</v>
      </c>
      <c r="M49" s="15">
        <f>IF(J49&lt;&gt;"",J49,IF(OR(L49="",H49=""),"",WORKDAY(L49,H49-1,'Schedule Calendar'!$H$6:$H$30)))</f>
        <v>46461</v>
      </c>
      <c r="N49" s="16">
        <f>IF(OR(L49="",M49=""),"",NETWORKDAYS.INTL(L49,M49,1,'Schedule Calendar'!$H$6:$H$30))</f>
        <v>5</v>
      </c>
      <c r="O49" s="1" t="s">
        <v>452</v>
      </c>
      <c r="P49" s="1" t="s">
        <v>38</v>
      </c>
      <c r="Q49" s="1" t="s">
        <v>36</v>
      </c>
      <c r="R49" s="8" t="s">
        <v>36</v>
      </c>
      <c r="S49" s="8" t="s">
        <v>453</v>
      </c>
      <c r="T49" s="8" t="s">
        <v>396</v>
      </c>
      <c r="U49" s="1"/>
      <c r="V49" s="1"/>
    </row>
    <row r="50" spans="1:22" ht="28.8" hidden="1" outlineLevel="1" x14ac:dyDescent="0.3">
      <c r="A50" s="10" t="s">
        <v>454</v>
      </c>
      <c r="B50" s="1" t="s">
        <v>438</v>
      </c>
      <c r="C50" s="1" t="s">
        <v>455</v>
      </c>
      <c r="D50" s="1" t="s">
        <v>34</v>
      </c>
      <c r="E50" s="8" t="s">
        <v>450</v>
      </c>
      <c r="F50" s="15" t="s">
        <v>442</v>
      </c>
      <c r="G50" s="15" t="s">
        <v>407</v>
      </c>
      <c r="H50" s="16">
        <f>IF(OR(F50="",G50=""),"",NETWORKDAYS.INTL(F50,G50,1,'Schedule Calendar'!$H$6:$H$30))</f>
        <v>5</v>
      </c>
      <c r="I50" s="15"/>
      <c r="J50" s="15"/>
      <c r="K50" s="16" t="str">
        <f>IF(OR(I50="",J50=""),"",NETWORKDAYS.INTL(I50,J50,1,'Schedule Calendar'!$H$6:$H$30))</f>
        <v/>
      </c>
      <c r="L50" s="15">
        <f>IF(I50&lt;&gt;"",I50,MAX(F50,WORKDAY(MAX(M49),1,'Schedule Calendar'!$H$6:$H$30)))</f>
        <v>46462</v>
      </c>
      <c r="M50" s="15">
        <f>IF(J50&lt;&gt;"",J50,IF(OR(L50="",H50=""),"",WORKDAY(L50,H50-1,'Schedule Calendar'!$H$6:$H$30)))</f>
        <v>46468</v>
      </c>
      <c r="N50" s="16">
        <f>IF(OR(L50="",M50=""),"",NETWORKDAYS.INTL(L50,M50,1,'Schedule Calendar'!$H$6:$H$30))</f>
        <v>5</v>
      </c>
      <c r="O50" s="1" t="s">
        <v>456</v>
      </c>
      <c r="P50" s="1" t="s">
        <v>38</v>
      </c>
      <c r="Q50" s="1" t="s">
        <v>36</v>
      </c>
      <c r="R50" s="8" t="s">
        <v>262</v>
      </c>
      <c r="S50" s="8" t="s">
        <v>457</v>
      </c>
      <c r="T50" s="8" t="s">
        <v>396</v>
      </c>
      <c r="U50" s="1"/>
      <c r="V50" s="1"/>
    </row>
    <row r="51" spans="1:22" ht="28.8" hidden="1" outlineLevel="1" x14ac:dyDescent="0.3">
      <c r="A51" s="10" t="s">
        <v>458</v>
      </c>
      <c r="B51" s="1" t="s">
        <v>438</v>
      </c>
      <c r="C51" s="1" t="s">
        <v>459</v>
      </c>
      <c r="D51" s="1" t="s">
        <v>460</v>
      </c>
      <c r="E51" s="8" t="s">
        <v>454</v>
      </c>
      <c r="F51" s="15" t="s">
        <v>442</v>
      </c>
      <c r="G51" s="15" t="s">
        <v>461</v>
      </c>
      <c r="H51" s="16">
        <f>IF(OR(F51="",G51=""),"",NETWORKDAYS.INTL(F51,G51,1,'Schedule Calendar'!$H$6:$H$30))</f>
        <v>8</v>
      </c>
      <c r="I51" s="15"/>
      <c r="J51" s="15"/>
      <c r="K51" s="16" t="str">
        <f>IF(OR(I51="",J51=""),"",NETWORKDAYS.INTL(I51,J51,1,'Schedule Calendar'!$H$6:$H$30))</f>
        <v/>
      </c>
      <c r="L51" s="15">
        <f>IF(I51&lt;&gt;"",I51,MAX(F51,WORKDAY(MAX(M50),1,'Schedule Calendar'!$H$6:$H$30)))</f>
        <v>46469</v>
      </c>
      <c r="M51" s="15">
        <f>IF(J51&lt;&gt;"",J51,IF(OR(L51="",H51=""),"",WORKDAY(L51,H51-1,'Schedule Calendar'!$H$6:$H$30)))</f>
        <v>46478</v>
      </c>
      <c r="N51" s="16">
        <f>IF(OR(L51="",M51=""),"",NETWORKDAYS.INTL(L51,M51,1,'Schedule Calendar'!$H$6:$H$30))</f>
        <v>8</v>
      </c>
      <c r="O51" s="1" t="s">
        <v>462</v>
      </c>
      <c r="P51" s="1" t="s">
        <v>38</v>
      </c>
      <c r="Q51" s="1" t="s">
        <v>36</v>
      </c>
      <c r="R51" s="8" t="s">
        <v>36</v>
      </c>
      <c r="S51" s="8" t="s">
        <v>463</v>
      </c>
      <c r="T51" s="8" t="s">
        <v>396</v>
      </c>
      <c r="U51" s="1"/>
      <c r="V51" s="1"/>
    </row>
    <row r="52" spans="1:22" ht="28.8" hidden="1" outlineLevel="1" x14ac:dyDescent="0.3">
      <c r="A52" s="10" t="s">
        <v>464</v>
      </c>
      <c r="B52" s="1" t="s">
        <v>438</v>
      </c>
      <c r="C52" s="1" t="s">
        <v>465</v>
      </c>
      <c r="D52" s="1" t="s">
        <v>441</v>
      </c>
      <c r="E52" s="8" t="s">
        <v>458</v>
      </c>
      <c r="F52" s="15" t="s">
        <v>442</v>
      </c>
      <c r="G52" s="15" t="s">
        <v>461</v>
      </c>
      <c r="H52" s="16">
        <f>IF(OR(F52="",G52=""),"",NETWORKDAYS.INTL(F52,G52,1,'Schedule Calendar'!$H$6:$H$30))</f>
        <v>8</v>
      </c>
      <c r="I52" s="15"/>
      <c r="J52" s="15"/>
      <c r="K52" s="16" t="str">
        <f>IF(OR(I52="",J52=""),"",NETWORKDAYS.INTL(I52,J52,1,'Schedule Calendar'!$H$6:$H$30))</f>
        <v/>
      </c>
      <c r="L52" s="15">
        <f>IF(I52&lt;&gt;"",I52,MAX(F52,WORKDAY(MAX(M51),1,'Schedule Calendar'!$H$6:$H$30)))</f>
        <v>46479</v>
      </c>
      <c r="M52" s="15">
        <f>IF(J52&lt;&gt;"",J52,IF(OR(L52="",H52=""),"",WORKDAY(L52,H52-1,'Schedule Calendar'!$H$6:$H$30)))</f>
        <v>46490</v>
      </c>
      <c r="N52" s="16">
        <f>IF(OR(L52="",M52=""),"",NETWORKDAYS.INTL(L52,M52,1,'Schedule Calendar'!$H$6:$H$30))</f>
        <v>8</v>
      </c>
      <c r="O52" s="1" t="s">
        <v>466</v>
      </c>
      <c r="P52" s="1" t="s">
        <v>38</v>
      </c>
      <c r="Q52" s="1" t="s">
        <v>36</v>
      </c>
      <c r="R52" s="8" t="s">
        <v>36</v>
      </c>
      <c r="S52" s="8" t="s">
        <v>467</v>
      </c>
      <c r="T52" s="8" t="s">
        <v>396</v>
      </c>
      <c r="U52" s="1"/>
      <c r="V52" s="1"/>
    </row>
    <row r="53" spans="1:22" ht="28.8" hidden="1" outlineLevel="1" x14ac:dyDescent="0.3">
      <c r="A53" s="10" t="s">
        <v>468</v>
      </c>
      <c r="B53" s="1" t="s">
        <v>438</v>
      </c>
      <c r="C53" s="1" t="s">
        <v>469</v>
      </c>
      <c r="D53" s="1" t="s">
        <v>441</v>
      </c>
      <c r="E53" s="8" t="s">
        <v>464</v>
      </c>
      <c r="F53" s="15" t="s">
        <v>442</v>
      </c>
      <c r="G53" s="15" t="s">
        <v>427</v>
      </c>
      <c r="H53" s="16">
        <f>IF(OR(F53="",G53=""),"",NETWORKDAYS.INTL(F53,G53,1,'Schedule Calendar'!$H$6:$H$30))</f>
        <v>10</v>
      </c>
      <c r="I53" s="15"/>
      <c r="J53" s="15"/>
      <c r="K53" s="16" t="str">
        <f>IF(OR(I53="",J53=""),"",NETWORKDAYS.INTL(I53,J53,1,'Schedule Calendar'!$H$6:$H$30))</f>
        <v/>
      </c>
      <c r="L53" s="15">
        <f>IF(I53&lt;&gt;"",I53,MAX(F53,WORKDAY(MAX(M52),1,'Schedule Calendar'!$H$6:$H$30)))</f>
        <v>46491</v>
      </c>
      <c r="M53" s="15">
        <f>IF(J53&lt;&gt;"",J53,IF(OR(L53="",H53=""),"",WORKDAY(L53,H53-1,'Schedule Calendar'!$H$6:$H$30)))</f>
        <v>46504</v>
      </c>
      <c r="N53" s="16">
        <f>IF(OR(L53="",M53=""),"",NETWORKDAYS.INTL(L53,M53,1,'Schedule Calendar'!$H$6:$H$30))</f>
        <v>10</v>
      </c>
      <c r="O53" s="1" t="s">
        <v>470</v>
      </c>
      <c r="P53" s="1" t="s">
        <v>38</v>
      </c>
      <c r="Q53" s="1" t="s">
        <v>36</v>
      </c>
      <c r="R53" s="8" t="s">
        <v>36</v>
      </c>
      <c r="S53" s="8" t="s">
        <v>471</v>
      </c>
      <c r="T53" s="8" t="s">
        <v>396</v>
      </c>
      <c r="U53" s="1"/>
      <c r="V53" s="1"/>
    </row>
    <row r="54" spans="1:22" ht="28.8" collapsed="1" x14ac:dyDescent="0.3">
      <c r="A54" s="12" t="s">
        <v>86</v>
      </c>
      <c r="B54" s="5" t="s">
        <v>472</v>
      </c>
      <c r="C54" s="12" t="s">
        <v>87</v>
      </c>
      <c r="D54" s="5" t="s">
        <v>89</v>
      </c>
      <c r="E54" s="8" t="s">
        <v>81</v>
      </c>
      <c r="F54" s="13" t="str">
        <f>IF(COUNT(F55:F56)=0,"",MIN(F55:F56))</f>
        <v/>
      </c>
      <c r="G54" s="13" t="str">
        <f>IF(COUNT(G55:G56)=0,"",MAX(G55:G56))</f>
        <v/>
      </c>
      <c r="H54" s="14" t="str">
        <f>IF(OR(F54="",G54=""),"",NETWORKDAYS.INTL(F54,G54,1,'Schedule Calendar'!$H$6:$H$30))</f>
        <v/>
      </c>
      <c r="I54" s="13" t="str">
        <f>IF(COUNT(I55:I56)=0,"",MIN(I55:I56))</f>
        <v/>
      </c>
      <c r="J54" s="13"/>
      <c r="K54" s="14" t="str">
        <f>IF(OR(I54="",J54=""),"",NETWORKDAYS.INTL(I54,J54,1,'Schedule Calendar'!$H$6:$H$30))</f>
        <v/>
      </c>
      <c r="L54" s="13">
        <f>IFERROR(MIN(L55:L56),"")</f>
        <v>46505</v>
      </c>
      <c r="M54" s="13">
        <f>IFERROR(MAX(M55:M56),"")</f>
        <v>46518</v>
      </c>
      <c r="N54" s="14">
        <f>IF(OR(L54="",M54=""),"",NETWORKDAYS.INTL(L54,M54,1,'Schedule Calendar'!$H$6:$H$30))</f>
        <v>10</v>
      </c>
      <c r="O54" s="5" t="s">
        <v>241</v>
      </c>
      <c r="P54" s="5" t="str">
        <f>IF(COUNTIF(P55:P56,"Red")&gt;0,"Red",IF(COUNTIF(P55:P56,"Amber")&gt;0,"Amber",IF(COUNTIF(P55:P56,"Blocked")&gt;0,"Blocked",IF(COUNTIF(P55:P56,"Complete")=ROWS(P55:P56),"Complete",IF(COUNTIF(P55:P56,"Green")&gt;0,"Green","Not Started")))))</f>
        <v>Not Started</v>
      </c>
      <c r="Q54" s="5" t="str">
        <f>IF(COUNTIF(Q55:Q56,"Yes")&gt;0,"Yes","No")</f>
        <v>Yes</v>
      </c>
      <c r="R54" s="8" t="str">
        <f>IF(COUNTIF(R55:R56,"Yes")&gt;0,"Yes","No")</f>
        <v>Yes</v>
      </c>
      <c r="S54" s="8" t="s">
        <v>243</v>
      </c>
      <c r="T54" s="8" t="s">
        <v>244</v>
      </c>
      <c r="U54" s="5"/>
      <c r="V54" s="5"/>
    </row>
    <row r="55" spans="1:22" hidden="1" outlineLevel="1" x14ac:dyDescent="0.3">
      <c r="A55" s="10" t="s">
        <v>473</v>
      </c>
      <c r="B55" s="1" t="s">
        <v>472</v>
      </c>
      <c r="C55" s="1" t="s">
        <v>474</v>
      </c>
      <c r="D55" s="1" t="s">
        <v>426</v>
      </c>
      <c r="E55" s="8" t="s">
        <v>475</v>
      </c>
      <c r="F55" s="15" t="s">
        <v>476</v>
      </c>
      <c r="G55" s="15" t="s">
        <v>477</v>
      </c>
      <c r="H55" s="16">
        <f>IF(OR(F55="",G55=""),"",NETWORKDAYS.INTL(F55,G55,1,'Schedule Calendar'!$H$6:$H$30))</f>
        <v>5</v>
      </c>
      <c r="I55" s="15"/>
      <c r="J55" s="15"/>
      <c r="K55" s="16" t="str">
        <f>IF(OR(I55="",J55=""),"",NETWORKDAYS.INTL(I55,J55,1,'Schedule Calendar'!$H$6:$H$30))</f>
        <v/>
      </c>
      <c r="L55" s="15">
        <f>IF(I55&lt;&gt;"",I55,MAX(F55,WORKDAY(MAX(M37,M41,M46),1,'Schedule Calendar'!$H$6:$H$30)))</f>
        <v>46505</v>
      </c>
      <c r="M55" s="15">
        <f>IF(J55&lt;&gt;"",J55,IF(OR(L55="",H55=""),"",WORKDAY(L55,H55-1,'Schedule Calendar'!$H$6:$H$30)))</f>
        <v>46511</v>
      </c>
      <c r="N55" s="16">
        <f>IF(OR(L55="",M55=""),"",NETWORKDAYS.INTL(L55,M55,1,'Schedule Calendar'!$H$6:$H$30))</f>
        <v>5</v>
      </c>
      <c r="O55" s="1" t="s">
        <v>478</v>
      </c>
      <c r="P55" s="1" t="s">
        <v>38</v>
      </c>
      <c r="Q55" s="1" t="s">
        <v>36</v>
      </c>
      <c r="R55" s="8" t="s">
        <v>36</v>
      </c>
      <c r="S55" s="8" t="s">
        <v>479</v>
      </c>
      <c r="T55" s="8" t="s">
        <v>252</v>
      </c>
      <c r="U55" s="1"/>
      <c r="V55" s="1"/>
    </row>
    <row r="56" spans="1:22" hidden="1" outlineLevel="1" x14ac:dyDescent="0.3">
      <c r="A56" s="10" t="s">
        <v>480</v>
      </c>
      <c r="B56" s="1" t="s">
        <v>472</v>
      </c>
      <c r="C56" s="1" t="s">
        <v>481</v>
      </c>
      <c r="D56" s="1" t="s">
        <v>54</v>
      </c>
      <c r="E56" s="8" t="s">
        <v>473</v>
      </c>
      <c r="F56" s="15" t="s">
        <v>476</v>
      </c>
      <c r="G56" s="15" t="s">
        <v>477</v>
      </c>
      <c r="H56" s="16">
        <f>IF(OR(F56="",G56=""),"",NETWORKDAYS.INTL(F56,G56,1,'Schedule Calendar'!$H$6:$H$30))</f>
        <v>5</v>
      </c>
      <c r="I56" s="15"/>
      <c r="J56" s="15"/>
      <c r="K56" s="16" t="str">
        <f>IF(OR(I56="",J56=""),"",NETWORKDAYS.INTL(I56,J56,1,'Schedule Calendar'!$H$6:$H$30))</f>
        <v/>
      </c>
      <c r="L56" s="15">
        <f>IF(I56&lt;&gt;"",I56,MAX(F56,WORKDAY(MAX(M55),1,'Schedule Calendar'!$H$6:$H$30)))</f>
        <v>46512</v>
      </c>
      <c r="M56" s="15">
        <f>IF(J56&lt;&gt;"",J56,IF(OR(L56="",H56=""),"",WORKDAY(L56,H56-1,'Schedule Calendar'!$H$6:$H$30)))</f>
        <v>46518</v>
      </c>
      <c r="N56" s="16">
        <f>IF(OR(L56="",M56=""),"",NETWORKDAYS.INTL(L56,M56,1,'Schedule Calendar'!$H$6:$H$30))</f>
        <v>5</v>
      </c>
      <c r="O56" s="1" t="s">
        <v>482</v>
      </c>
      <c r="P56" s="1" t="s">
        <v>38</v>
      </c>
      <c r="Q56" s="1" t="s">
        <v>36</v>
      </c>
      <c r="R56" s="8" t="s">
        <v>262</v>
      </c>
      <c r="S56" s="8" t="s">
        <v>483</v>
      </c>
      <c r="T56" s="8" t="s">
        <v>484</v>
      </c>
      <c r="U56" s="1"/>
      <c r="V56" s="1"/>
    </row>
    <row r="57" spans="1:22" ht="28.8" collapsed="1" x14ac:dyDescent="0.3">
      <c r="A57" s="12" t="s">
        <v>92</v>
      </c>
      <c r="B57" s="5" t="s">
        <v>472</v>
      </c>
      <c r="C57" s="12" t="s">
        <v>93</v>
      </c>
      <c r="D57" s="5" t="s">
        <v>89</v>
      </c>
      <c r="E57" s="8" t="s">
        <v>86</v>
      </c>
      <c r="F57" s="13" t="str">
        <f>IF(COUNT(F58:F59)=0,"",MIN(F58:F59))</f>
        <v/>
      </c>
      <c r="G57" s="13" t="str">
        <f>IF(COUNT(G58:G59)=0,"",MAX(G58:G59))</f>
        <v/>
      </c>
      <c r="H57" s="14" t="str">
        <f>IF(OR(F57="",G57=""),"",NETWORKDAYS.INTL(F57,G57,1,'Schedule Calendar'!$H$6:$H$30))</f>
        <v/>
      </c>
      <c r="I57" s="13" t="str">
        <f>IF(COUNT(I58:I59)=0,"",MIN(I58:I59))</f>
        <v/>
      </c>
      <c r="J57" s="13"/>
      <c r="K57" s="14" t="str">
        <f>IF(OR(I57="",J57=""),"",NETWORKDAYS.INTL(I57,J57,1,'Schedule Calendar'!$H$6:$H$30))</f>
        <v/>
      </c>
      <c r="L57" s="13">
        <f>IFERROR(MIN(L58:L59),"")</f>
        <v>46519</v>
      </c>
      <c r="M57" s="13">
        <f>IFERROR(MAX(M58:M59),"")</f>
        <v>46539</v>
      </c>
      <c r="N57" s="14">
        <f>IF(OR(L57="",M57=""),"",NETWORKDAYS.INTL(L57,M57,1,'Schedule Calendar'!$H$6:$H$30))</f>
        <v>15</v>
      </c>
      <c r="O57" s="5" t="s">
        <v>241</v>
      </c>
      <c r="P57" s="5" t="str">
        <f>IF(COUNTIF(P58:P59,"Red")&gt;0,"Red",IF(COUNTIF(P58:P59,"Amber")&gt;0,"Amber",IF(COUNTIF(P58:P59,"Blocked")&gt;0,"Blocked",IF(COUNTIF(P58:P59,"Complete")=ROWS(P58:P59),"Complete",IF(COUNTIF(P58:P59,"Green")&gt;0,"Green","Not Started")))))</f>
        <v>Not Started</v>
      </c>
      <c r="Q57" s="5" t="str">
        <f>IF(COUNTIF(Q58:Q59,"Yes")&gt;0,"Yes","No")</f>
        <v>Yes</v>
      </c>
      <c r="R57" s="8" t="str">
        <f>IF(COUNTIF(R58:R59,"Yes")&gt;0,"Yes","No")</f>
        <v>Yes</v>
      </c>
      <c r="S57" s="8" t="s">
        <v>243</v>
      </c>
      <c r="T57" s="8" t="s">
        <v>244</v>
      </c>
      <c r="U57" s="5"/>
      <c r="V57" s="5"/>
    </row>
    <row r="58" spans="1:22" ht="28.8" hidden="1" outlineLevel="1" x14ac:dyDescent="0.3">
      <c r="A58" s="10" t="s">
        <v>485</v>
      </c>
      <c r="B58" s="1" t="s">
        <v>472</v>
      </c>
      <c r="C58" s="1" t="s">
        <v>486</v>
      </c>
      <c r="D58" s="1" t="s">
        <v>426</v>
      </c>
      <c r="E58" s="8" t="s">
        <v>86</v>
      </c>
      <c r="F58" s="15" t="s">
        <v>487</v>
      </c>
      <c r="G58" s="15" t="s">
        <v>488</v>
      </c>
      <c r="H58" s="16">
        <f>IF(OR(F58="",G58=""),"",NETWORKDAYS.INTL(F58,G58,1,'Schedule Calendar'!$H$6:$H$30))</f>
        <v>5</v>
      </c>
      <c r="I58" s="15"/>
      <c r="J58" s="15"/>
      <c r="K58" s="16" t="str">
        <f>IF(OR(I58="",J58=""),"",NETWORKDAYS.INTL(I58,J58,1,'Schedule Calendar'!$H$6:$H$30))</f>
        <v/>
      </c>
      <c r="L58" s="15">
        <f>IF(I58&lt;&gt;"",I58,MAX(F58,WORKDAY(MAX(M54),1,'Schedule Calendar'!$H$6:$H$30)))</f>
        <v>46519</v>
      </c>
      <c r="M58" s="15">
        <f>IF(J58&lt;&gt;"",J58,IF(OR(L58="",H58=""),"",WORKDAY(L58,H58-1,'Schedule Calendar'!$H$6:$H$30)))</f>
        <v>46525</v>
      </c>
      <c r="N58" s="16">
        <f>IF(OR(L58="",M58=""),"",NETWORKDAYS.INTL(L58,M58,1,'Schedule Calendar'!$H$6:$H$30))</f>
        <v>5</v>
      </c>
      <c r="O58" s="1" t="s">
        <v>489</v>
      </c>
      <c r="P58" s="1" t="s">
        <v>38</v>
      </c>
      <c r="Q58" s="1" t="s">
        <v>36</v>
      </c>
      <c r="R58" s="8" t="s">
        <v>36</v>
      </c>
      <c r="S58" s="8" t="s">
        <v>490</v>
      </c>
      <c r="T58" s="8" t="s">
        <v>491</v>
      </c>
      <c r="U58" s="1"/>
      <c r="V58" s="1"/>
    </row>
    <row r="59" spans="1:22" ht="28.8" hidden="1" outlineLevel="1" x14ac:dyDescent="0.3">
      <c r="A59" s="10" t="s">
        <v>492</v>
      </c>
      <c r="B59" s="1" t="s">
        <v>472</v>
      </c>
      <c r="C59" s="1" t="s">
        <v>493</v>
      </c>
      <c r="D59" s="1" t="s">
        <v>54</v>
      </c>
      <c r="E59" s="8" t="s">
        <v>485</v>
      </c>
      <c r="F59" s="15" t="s">
        <v>487</v>
      </c>
      <c r="G59" s="15" t="s">
        <v>494</v>
      </c>
      <c r="H59" s="16">
        <f>IF(OR(F59="",G59=""),"",NETWORKDAYS.INTL(F59,G59,1,'Schedule Calendar'!$H$6:$H$30))</f>
        <v>10</v>
      </c>
      <c r="I59" s="15"/>
      <c r="J59" s="15"/>
      <c r="K59" s="16" t="str">
        <f>IF(OR(I59="",J59=""),"",NETWORKDAYS.INTL(I59,J59,1,'Schedule Calendar'!$H$6:$H$30))</f>
        <v/>
      </c>
      <c r="L59" s="15">
        <f>IF(I59&lt;&gt;"",I59,MAX(F59,WORKDAY(MAX(M58),1,'Schedule Calendar'!$H$6:$H$30)))</f>
        <v>46526</v>
      </c>
      <c r="M59" s="15">
        <f>IF(J59&lt;&gt;"",J59,IF(OR(L59="",H59=""),"",WORKDAY(L59,H59-1,'Schedule Calendar'!$H$6:$H$30)))</f>
        <v>46539</v>
      </c>
      <c r="N59" s="16">
        <f>IF(OR(L59="",M59=""),"",NETWORKDAYS.INTL(L59,M59,1,'Schedule Calendar'!$H$6:$H$30))</f>
        <v>10</v>
      </c>
      <c r="O59" s="1" t="s">
        <v>495</v>
      </c>
      <c r="P59" s="1" t="s">
        <v>38</v>
      </c>
      <c r="Q59" s="1" t="s">
        <v>36</v>
      </c>
      <c r="R59" s="8" t="s">
        <v>262</v>
      </c>
      <c r="S59" s="8" t="s">
        <v>496</v>
      </c>
      <c r="T59" s="8" t="s">
        <v>497</v>
      </c>
      <c r="U59" s="1"/>
      <c r="V59" s="1"/>
    </row>
  </sheetData>
  <autoFilter ref="A3:V59" xr:uid="{00000000-0009-0000-0000-000002000000}"/>
  <mergeCells count="1">
    <mergeCell ref="A1:V2"/>
  </mergeCells>
  <conditionalFormatting sqref="P4:P160">
    <cfRule type="expression" dxfId="11" priority="1">
      <formula>P4="Green"</formula>
    </cfRule>
    <cfRule type="expression" dxfId="10" priority="2">
      <formula>P4="Amber"</formula>
    </cfRule>
    <cfRule type="expression" dxfId="9" priority="3">
      <formula>P4="Red"</formula>
    </cfRule>
  </conditionalFormatting>
  <dataValidations count="2">
    <dataValidation type="list" allowBlank="1" sqref="P4:P160" xr:uid="{00000000-0002-0000-0200-000000000000}">
      <formula1>"Not Started,Green,Amber,Red,Blocked,Complete"</formula1>
    </dataValidation>
    <dataValidation type="list" allowBlank="1" sqref="Q4:R160" xr:uid="{00000000-0002-0000-0200-000001000000}">
      <formula1>"Yes,No"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0011"/>
    <pageSetUpPr fitToPage="1"/>
  </sheetPr>
  <dimension ref="A1:DY25"/>
  <sheetViews>
    <sheetView showGridLines="0" workbookViewId="0">
      <pane xSplit="11" ySplit="3" topLeftCell="DR4" activePane="bottomRight" state="frozen"/>
      <selection pane="topRight"/>
      <selection pane="bottomLeft"/>
      <selection pane="bottomRight" activeCell="DY25" sqref="DY25"/>
    </sheetView>
  </sheetViews>
  <sheetFormatPr defaultRowHeight="14.4" x14ac:dyDescent="0.3"/>
  <cols>
    <col min="1" max="1" width="10" customWidth="1"/>
    <col min="2" max="2" width="34" customWidth="1"/>
    <col min="3" max="3" width="28" customWidth="1"/>
    <col min="4" max="10" width="15" customWidth="1"/>
    <col min="11" max="11" width="12" customWidth="1"/>
    <col min="12" max="117" width="4" customWidth="1"/>
  </cols>
  <sheetData>
    <row r="1" spans="1:129" x14ac:dyDescent="0.3">
      <c r="A1" s="49" t="s">
        <v>498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</row>
    <row r="2" spans="1:129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</row>
    <row r="3" spans="1:129" ht="38.4" x14ac:dyDescent="0.3">
      <c r="A3" s="17" t="s">
        <v>220</v>
      </c>
      <c r="B3" s="17" t="s">
        <v>24</v>
      </c>
      <c r="C3" s="17" t="s">
        <v>499</v>
      </c>
      <c r="D3" s="17" t="s">
        <v>224</v>
      </c>
      <c r="E3" s="17" t="s">
        <v>225</v>
      </c>
      <c r="F3" s="17" t="s">
        <v>230</v>
      </c>
      <c r="G3" s="17" t="s">
        <v>231</v>
      </c>
      <c r="H3" s="17" t="s">
        <v>227</v>
      </c>
      <c r="I3" s="17" t="s">
        <v>228</v>
      </c>
      <c r="J3" s="17" t="s">
        <v>30</v>
      </c>
      <c r="K3" s="17" t="s">
        <v>28</v>
      </c>
      <c r="L3" s="18">
        <v>46239</v>
      </c>
      <c r="M3" s="18">
        <v>46240</v>
      </c>
      <c r="N3" s="18">
        <v>46241</v>
      </c>
      <c r="O3" s="18">
        <v>46242</v>
      </c>
      <c r="P3" s="18">
        <v>46243</v>
      </c>
      <c r="Q3" s="18">
        <v>46244</v>
      </c>
      <c r="R3" s="18">
        <v>46245</v>
      </c>
      <c r="S3" s="18">
        <v>46246</v>
      </c>
      <c r="T3" s="18">
        <v>46247</v>
      </c>
      <c r="U3" s="18">
        <v>46248</v>
      </c>
      <c r="V3" s="18">
        <v>46249</v>
      </c>
      <c r="W3" s="18">
        <v>46250</v>
      </c>
      <c r="X3" s="18">
        <v>46251</v>
      </c>
      <c r="Y3" s="18">
        <v>46252</v>
      </c>
      <c r="Z3" s="18">
        <v>46253</v>
      </c>
      <c r="AA3" s="18">
        <v>46254</v>
      </c>
      <c r="AB3" s="18">
        <v>46255</v>
      </c>
      <c r="AC3" s="18">
        <v>46256</v>
      </c>
      <c r="AD3" s="18">
        <v>46257</v>
      </c>
      <c r="AE3" s="18">
        <v>46258</v>
      </c>
      <c r="AF3" s="18">
        <v>46259</v>
      </c>
      <c r="AG3" s="18">
        <v>46260</v>
      </c>
      <c r="AH3" s="18">
        <v>46261</v>
      </c>
      <c r="AI3" s="18">
        <v>46262</v>
      </c>
      <c r="AJ3" s="18">
        <v>46263</v>
      </c>
      <c r="AK3" s="18">
        <v>46264</v>
      </c>
      <c r="AL3" s="18">
        <v>46265</v>
      </c>
      <c r="AM3" s="18">
        <v>46266</v>
      </c>
      <c r="AN3" s="18">
        <v>46267</v>
      </c>
      <c r="AO3" s="18">
        <v>46268</v>
      </c>
      <c r="AP3" s="18">
        <v>46269</v>
      </c>
      <c r="AQ3" s="18">
        <v>46270</v>
      </c>
      <c r="AR3" s="18">
        <v>46271</v>
      </c>
      <c r="AS3" s="18">
        <v>46272</v>
      </c>
      <c r="AT3" s="18">
        <v>46273</v>
      </c>
      <c r="AU3" s="18">
        <v>46274</v>
      </c>
      <c r="AV3" s="18">
        <v>46275</v>
      </c>
      <c r="AW3" s="18">
        <v>46276</v>
      </c>
      <c r="AX3" s="18">
        <v>46277</v>
      </c>
      <c r="AY3" s="18">
        <v>46278</v>
      </c>
      <c r="AZ3" s="18">
        <v>46279</v>
      </c>
      <c r="BA3" s="18">
        <v>46280</v>
      </c>
      <c r="BB3" s="18">
        <v>46281</v>
      </c>
      <c r="BC3" s="18">
        <v>46282</v>
      </c>
      <c r="BD3" s="18">
        <v>46283</v>
      </c>
      <c r="BE3" s="18">
        <v>46284</v>
      </c>
      <c r="BF3" s="18">
        <v>46285</v>
      </c>
      <c r="BG3" s="18">
        <v>46286</v>
      </c>
      <c r="BH3" s="18">
        <v>46287</v>
      </c>
      <c r="BI3" s="18">
        <v>46288</v>
      </c>
      <c r="BJ3" s="18">
        <v>46289</v>
      </c>
      <c r="BK3" s="18">
        <v>46290</v>
      </c>
      <c r="BL3" s="18">
        <v>46291</v>
      </c>
      <c r="BM3" s="18">
        <v>46292</v>
      </c>
      <c r="BN3" s="18">
        <v>46293</v>
      </c>
      <c r="BO3" s="18">
        <v>46294</v>
      </c>
      <c r="BP3" s="18">
        <v>46295</v>
      </c>
      <c r="BQ3" s="18">
        <v>46296</v>
      </c>
      <c r="BR3" s="18">
        <v>46297</v>
      </c>
      <c r="BS3" s="18">
        <v>46298</v>
      </c>
      <c r="BT3" s="18">
        <v>46299</v>
      </c>
      <c r="BU3" s="18">
        <v>46300</v>
      </c>
      <c r="BV3" s="18">
        <v>46301</v>
      </c>
      <c r="BW3" s="18">
        <v>46302</v>
      </c>
      <c r="BX3" s="18">
        <v>46303</v>
      </c>
      <c r="BY3" s="18">
        <v>46304</v>
      </c>
      <c r="BZ3" s="18">
        <v>46305</v>
      </c>
      <c r="CA3" s="18">
        <v>46306</v>
      </c>
      <c r="CB3" s="18">
        <v>46307</v>
      </c>
      <c r="CC3" s="18">
        <v>46308</v>
      </c>
      <c r="CD3" s="18">
        <v>46309</v>
      </c>
      <c r="CE3" s="18">
        <v>46310</v>
      </c>
      <c r="CF3" s="18">
        <v>46311</v>
      </c>
      <c r="CG3" s="18">
        <v>46312</v>
      </c>
      <c r="CH3" s="18">
        <v>46313</v>
      </c>
      <c r="CI3" s="18">
        <v>46314</v>
      </c>
      <c r="CJ3" s="18">
        <v>46315</v>
      </c>
      <c r="CK3" s="18">
        <v>46316</v>
      </c>
      <c r="CL3" s="18">
        <v>46317</v>
      </c>
      <c r="CM3" s="18">
        <v>46318</v>
      </c>
      <c r="CN3" s="18">
        <v>46319</v>
      </c>
      <c r="CO3" s="18">
        <v>46320</v>
      </c>
      <c r="CP3" s="18">
        <v>46321</v>
      </c>
      <c r="CQ3" s="18">
        <v>46322</v>
      </c>
      <c r="CR3" s="18">
        <v>46323</v>
      </c>
      <c r="CS3" s="18">
        <v>46324</v>
      </c>
      <c r="CT3" s="18">
        <v>46325</v>
      </c>
      <c r="CU3" s="18">
        <v>46326</v>
      </c>
      <c r="CV3" s="18">
        <v>46327</v>
      </c>
      <c r="CW3" s="18">
        <v>46328</v>
      </c>
      <c r="CX3" s="18">
        <v>46329</v>
      </c>
      <c r="CY3" s="18">
        <v>46330</v>
      </c>
      <c r="CZ3" s="18">
        <v>46331</v>
      </c>
      <c r="DA3" s="18">
        <v>46332</v>
      </c>
      <c r="DB3" s="18">
        <v>46333</v>
      </c>
      <c r="DC3" s="18">
        <v>46334</v>
      </c>
      <c r="DD3" s="18">
        <v>46335</v>
      </c>
      <c r="DE3" s="18">
        <v>46336</v>
      </c>
      <c r="DF3" s="18">
        <v>46337</v>
      </c>
      <c r="DG3" s="18">
        <v>46338</v>
      </c>
      <c r="DH3" s="18">
        <v>46339</v>
      </c>
      <c r="DI3" s="18">
        <v>46340</v>
      </c>
      <c r="DJ3" s="18">
        <v>46341</v>
      </c>
      <c r="DK3" s="18">
        <v>46342</v>
      </c>
      <c r="DL3" s="18">
        <v>46343</v>
      </c>
      <c r="DM3" s="18">
        <v>46344</v>
      </c>
      <c r="DN3" s="24">
        <v>46345</v>
      </c>
      <c r="DO3" s="24">
        <v>46346</v>
      </c>
      <c r="DP3" s="24">
        <v>46347</v>
      </c>
      <c r="DQ3" s="24">
        <v>46348</v>
      </c>
      <c r="DR3" s="24">
        <v>46349</v>
      </c>
      <c r="DS3" s="24">
        <v>46350</v>
      </c>
      <c r="DT3" s="24">
        <v>46351</v>
      </c>
      <c r="DU3" s="24">
        <v>46352</v>
      </c>
      <c r="DV3" s="24">
        <v>46353</v>
      </c>
      <c r="DW3" s="24">
        <v>46354</v>
      </c>
      <c r="DX3" s="24">
        <v>46355</v>
      </c>
      <c r="DY3" s="24">
        <v>46356</v>
      </c>
    </row>
    <row r="4" spans="1:129" x14ac:dyDescent="0.3">
      <c r="A4" s="1" t="s">
        <v>31</v>
      </c>
      <c r="B4" s="1" t="s">
        <v>32</v>
      </c>
      <c r="C4" s="1" t="s">
        <v>34</v>
      </c>
      <c r="D4" s="15">
        <f>'Delivery Plan'!F4</f>
        <v>46239</v>
      </c>
      <c r="E4" s="15" t="str">
        <f>'Delivery Plan'!G4</f>
        <v/>
      </c>
      <c r="F4" s="15">
        <f>'Delivery Plan'!L4</f>
        <v>46239</v>
      </c>
      <c r="G4" s="15">
        <f>'Delivery Plan'!M4</f>
        <v>46289</v>
      </c>
      <c r="H4" s="15" t="str">
        <f>'Delivery Plan'!I4</f>
        <v/>
      </c>
      <c r="I4" s="15">
        <f>'Delivery Plan'!J4</f>
        <v>0</v>
      </c>
      <c r="J4" s="1" t="str">
        <f>'Delivery Plan'!P4</f>
        <v>Green</v>
      </c>
      <c r="K4" s="1" t="str">
        <f>'Delivery Plan'!Q4</f>
        <v>Yes</v>
      </c>
    </row>
    <row r="5" spans="1:129" x14ac:dyDescent="0.3">
      <c r="A5" s="1" t="s">
        <v>39</v>
      </c>
      <c r="B5" s="1" t="s">
        <v>40</v>
      </c>
      <c r="C5" s="1" t="s">
        <v>42</v>
      </c>
      <c r="D5" s="15" t="str">
        <f>'Delivery Plan'!F8</f>
        <v/>
      </c>
      <c r="E5" s="15" t="str">
        <f>'Delivery Plan'!G8</f>
        <v/>
      </c>
      <c r="F5" s="15">
        <f>'Delivery Plan'!L8</f>
        <v>46290</v>
      </c>
      <c r="G5" s="15">
        <f>'Delivery Plan'!M8</f>
        <v>46323</v>
      </c>
      <c r="H5" s="15" t="str">
        <f>'Delivery Plan'!I8</f>
        <v/>
      </c>
      <c r="I5" s="15">
        <f>'Delivery Plan'!J8</f>
        <v>0</v>
      </c>
      <c r="J5" s="1" t="str">
        <f>'Delivery Plan'!P8</f>
        <v>Not Started</v>
      </c>
      <c r="K5" s="1" t="str">
        <f>'Delivery Plan'!Q8</f>
        <v>Yes</v>
      </c>
    </row>
    <row r="6" spans="1:129" x14ac:dyDescent="0.3">
      <c r="A6" s="1" t="s">
        <v>45</v>
      </c>
      <c r="B6" s="1" t="s">
        <v>46</v>
      </c>
      <c r="C6" s="1" t="s">
        <v>48</v>
      </c>
      <c r="D6" s="15" t="str">
        <f>'Delivery Plan'!F15</f>
        <v/>
      </c>
      <c r="E6" s="15" t="str">
        <f>'Delivery Plan'!G15</f>
        <v/>
      </c>
      <c r="F6" s="15">
        <f>'Delivery Plan'!L15</f>
        <v>46324</v>
      </c>
      <c r="G6" s="15">
        <f>'Delivery Plan'!M15</f>
        <v>46374</v>
      </c>
      <c r="H6" s="15" t="str">
        <f>'Delivery Plan'!I15</f>
        <v/>
      </c>
      <c r="I6" s="15">
        <f>'Delivery Plan'!J15</f>
        <v>0</v>
      </c>
      <c r="J6" s="1" t="str">
        <f>'Delivery Plan'!P15</f>
        <v>Not Started</v>
      </c>
      <c r="K6" s="1" t="str">
        <f>'Delivery Plan'!Q15</f>
        <v>Yes</v>
      </c>
    </row>
    <row r="7" spans="1:129" x14ac:dyDescent="0.3">
      <c r="A7" s="1" t="s">
        <v>51</v>
      </c>
      <c r="B7" s="1" t="s">
        <v>327</v>
      </c>
      <c r="C7" s="1" t="s">
        <v>34</v>
      </c>
      <c r="D7" s="15" t="str">
        <f>'Delivery Plan'!F21</f>
        <v/>
      </c>
      <c r="E7" s="15" t="str">
        <f>'Delivery Plan'!G21</f>
        <v/>
      </c>
      <c r="F7" s="15">
        <f>'Delivery Plan'!L21</f>
        <v>46377</v>
      </c>
      <c r="G7" s="15">
        <f>'Delivery Plan'!M21</f>
        <v>46393</v>
      </c>
      <c r="H7" s="15" t="str">
        <f>'Delivery Plan'!I21</f>
        <v/>
      </c>
      <c r="I7" s="15">
        <f>'Delivery Plan'!J21</f>
        <v>0</v>
      </c>
      <c r="J7" s="1" t="str">
        <f>'Delivery Plan'!P21</f>
        <v>Not Started</v>
      </c>
      <c r="K7" s="1" t="str">
        <f>'Delivery Plan'!Q21</f>
        <v>Yes</v>
      </c>
    </row>
    <row r="8" spans="1:129" x14ac:dyDescent="0.3">
      <c r="A8" s="1" t="s">
        <v>57</v>
      </c>
      <c r="B8" s="1" t="s">
        <v>346</v>
      </c>
      <c r="C8" s="1" t="s">
        <v>34</v>
      </c>
      <c r="D8" s="15" t="str">
        <f>'Delivery Plan'!F25</f>
        <v/>
      </c>
      <c r="E8" s="15" t="str">
        <f>'Delivery Plan'!G25</f>
        <v/>
      </c>
      <c r="F8" s="15">
        <f>'Delivery Plan'!L25</f>
        <v>46394</v>
      </c>
      <c r="G8" s="15">
        <f>'Delivery Plan'!M25</f>
        <v>46402</v>
      </c>
      <c r="H8" s="15" t="str">
        <f>'Delivery Plan'!I25</f>
        <v/>
      </c>
      <c r="I8" s="15">
        <f>'Delivery Plan'!J25</f>
        <v>0</v>
      </c>
      <c r="J8" s="1" t="str">
        <f>'Delivery Plan'!P25</f>
        <v>Not Started</v>
      </c>
      <c r="K8" s="1" t="str">
        <f>'Delivery Plan'!Q25</f>
        <v>Yes</v>
      </c>
    </row>
    <row r="9" spans="1:129" x14ac:dyDescent="0.3">
      <c r="A9" s="1" t="s">
        <v>62</v>
      </c>
      <c r="B9" s="1" t="s">
        <v>63</v>
      </c>
      <c r="C9" s="1" t="s">
        <v>317</v>
      </c>
      <c r="D9" s="15" t="str">
        <f>'Delivery Plan'!F29</f>
        <v/>
      </c>
      <c r="E9" s="15" t="str">
        <f>'Delivery Plan'!G29</f>
        <v/>
      </c>
      <c r="F9" s="15">
        <f>'Delivery Plan'!L29</f>
        <v>46324</v>
      </c>
      <c r="G9" s="15">
        <f>'Delivery Plan'!M29</f>
        <v>46358</v>
      </c>
      <c r="H9" s="15" t="str">
        <f>'Delivery Plan'!I29</f>
        <v/>
      </c>
      <c r="I9" s="15">
        <f>'Delivery Plan'!J29</f>
        <v>0</v>
      </c>
      <c r="J9" s="1" t="str">
        <f>'Delivery Plan'!P29</f>
        <v>Not Started</v>
      </c>
      <c r="K9" s="1" t="str">
        <f>'Delivery Plan'!Q29</f>
        <v>Yes</v>
      </c>
    </row>
    <row r="10" spans="1:129" x14ac:dyDescent="0.3">
      <c r="A10" s="1" t="s">
        <v>67</v>
      </c>
      <c r="B10" s="1" t="s">
        <v>346</v>
      </c>
      <c r="C10" s="1" t="s">
        <v>34</v>
      </c>
      <c r="D10" s="15" t="str">
        <f>'Delivery Plan'!F33</f>
        <v/>
      </c>
      <c r="E10" s="15" t="str">
        <f>'Delivery Plan'!G33</f>
        <v/>
      </c>
      <c r="F10" s="15">
        <f>'Delivery Plan'!L33</f>
        <v>46359</v>
      </c>
      <c r="G10" s="15">
        <f>'Delivery Plan'!M33</f>
        <v>46367</v>
      </c>
      <c r="H10" s="15" t="str">
        <f>'Delivery Plan'!I33</f>
        <v/>
      </c>
      <c r="I10" s="15">
        <f>'Delivery Plan'!J33</f>
        <v>0</v>
      </c>
      <c r="J10" s="1" t="str">
        <f>'Delivery Plan'!P33</f>
        <v>Not Started</v>
      </c>
      <c r="K10" s="1" t="str">
        <f>'Delivery Plan'!Q33</f>
        <v>Yes</v>
      </c>
    </row>
    <row r="11" spans="1:129" x14ac:dyDescent="0.3">
      <c r="A11" s="1" t="s">
        <v>69</v>
      </c>
      <c r="B11" s="1" t="s">
        <v>70</v>
      </c>
      <c r="C11" s="1" t="s">
        <v>48</v>
      </c>
      <c r="D11" s="15" t="str">
        <f>'Delivery Plan'!F37</f>
        <v/>
      </c>
      <c r="E11" s="15" t="str">
        <f>'Delivery Plan'!G37</f>
        <v/>
      </c>
      <c r="F11" s="15">
        <f>'Delivery Plan'!L37</f>
        <v>46405</v>
      </c>
      <c r="G11" s="15">
        <f>'Delivery Plan'!M37</f>
        <v>46428</v>
      </c>
      <c r="H11" s="15" t="str">
        <f>'Delivery Plan'!I37</f>
        <v/>
      </c>
      <c r="I11" s="15">
        <f>'Delivery Plan'!J37</f>
        <v>0</v>
      </c>
      <c r="J11" s="1" t="str">
        <f>'Delivery Plan'!P37</f>
        <v>Not Started</v>
      </c>
      <c r="K11" s="1" t="str">
        <f>'Delivery Plan'!Q37</f>
        <v>Yes</v>
      </c>
    </row>
    <row r="12" spans="1:129" x14ac:dyDescent="0.3">
      <c r="A12" s="1" t="s">
        <v>75</v>
      </c>
      <c r="B12" s="1" t="s">
        <v>76</v>
      </c>
      <c r="C12" s="1" t="s">
        <v>78</v>
      </c>
      <c r="D12" s="15" t="str">
        <f>'Delivery Plan'!F41</f>
        <v/>
      </c>
      <c r="E12" s="15" t="str">
        <f>'Delivery Plan'!G41</f>
        <v/>
      </c>
      <c r="F12" s="15">
        <f>'Delivery Plan'!L41</f>
        <v>46429</v>
      </c>
      <c r="G12" s="15">
        <f>'Delivery Plan'!M41</f>
        <v>46458</v>
      </c>
      <c r="H12" s="15" t="str">
        <f>'Delivery Plan'!I41</f>
        <v/>
      </c>
      <c r="I12" s="15">
        <f>'Delivery Plan'!J41</f>
        <v>0</v>
      </c>
      <c r="J12" s="1" t="str">
        <f>'Delivery Plan'!P41</f>
        <v>Not Started</v>
      </c>
      <c r="K12" s="1" t="str">
        <f>'Delivery Plan'!Q41</f>
        <v>Yes</v>
      </c>
    </row>
    <row r="13" spans="1:129" x14ac:dyDescent="0.3">
      <c r="A13" s="1" t="s">
        <v>81</v>
      </c>
      <c r="B13" s="1" t="s">
        <v>82</v>
      </c>
      <c r="C13" s="1" t="s">
        <v>34</v>
      </c>
      <c r="D13" s="15" t="str">
        <f>'Delivery Plan'!F46</f>
        <v/>
      </c>
      <c r="E13" s="15" t="str">
        <f>'Delivery Plan'!G46</f>
        <v/>
      </c>
      <c r="F13" s="15">
        <f>'Delivery Plan'!L46</f>
        <v>46443</v>
      </c>
      <c r="G13" s="15">
        <f>'Delivery Plan'!M46</f>
        <v>46504</v>
      </c>
      <c r="H13" s="15" t="str">
        <f>'Delivery Plan'!I46</f>
        <v/>
      </c>
      <c r="I13" s="15">
        <f>'Delivery Plan'!J46</f>
        <v>0</v>
      </c>
      <c r="J13" s="1" t="str">
        <f>'Delivery Plan'!P46</f>
        <v>Not Started</v>
      </c>
      <c r="K13" s="1" t="str">
        <f>'Delivery Plan'!Q46</f>
        <v>Yes</v>
      </c>
    </row>
    <row r="14" spans="1:129" x14ac:dyDescent="0.3">
      <c r="A14" s="1" t="s">
        <v>86</v>
      </c>
      <c r="B14" s="1" t="s">
        <v>87</v>
      </c>
      <c r="C14" s="1" t="s">
        <v>89</v>
      </c>
      <c r="D14" s="15" t="str">
        <f>'Delivery Plan'!F54</f>
        <v/>
      </c>
      <c r="E14" s="15" t="str">
        <f>'Delivery Plan'!G54</f>
        <v/>
      </c>
      <c r="F14" s="15">
        <f>'Delivery Plan'!L54</f>
        <v>46505</v>
      </c>
      <c r="G14" s="15">
        <f>'Delivery Plan'!M54</f>
        <v>46518</v>
      </c>
      <c r="H14" s="15" t="str">
        <f>'Delivery Plan'!I54</f>
        <v/>
      </c>
      <c r="I14" s="15">
        <f>'Delivery Plan'!J54</f>
        <v>0</v>
      </c>
      <c r="J14" s="1" t="str">
        <f>'Delivery Plan'!P54</f>
        <v>Not Started</v>
      </c>
      <c r="K14" s="1" t="str">
        <f>'Delivery Plan'!Q54</f>
        <v>Yes</v>
      </c>
    </row>
    <row r="15" spans="1:129" x14ac:dyDescent="0.3">
      <c r="A15" s="1" t="s">
        <v>92</v>
      </c>
      <c r="B15" s="1" t="s">
        <v>93</v>
      </c>
      <c r="C15" s="1" t="s">
        <v>89</v>
      </c>
      <c r="D15" s="15" t="str">
        <f>'Delivery Plan'!F57</f>
        <v/>
      </c>
      <c r="E15" s="15" t="str">
        <f>'Delivery Plan'!G57</f>
        <v/>
      </c>
      <c r="F15" s="15">
        <f>'Delivery Plan'!L57</f>
        <v>46519</v>
      </c>
      <c r="G15" s="15">
        <f>'Delivery Plan'!M57</f>
        <v>46539</v>
      </c>
      <c r="H15" s="15" t="str">
        <f>'Delivery Plan'!I57</f>
        <v/>
      </c>
      <c r="I15" s="15">
        <f>'Delivery Plan'!J57</f>
        <v>0</v>
      </c>
      <c r="J15" s="1" t="str">
        <f>'Delivery Plan'!P57</f>
        <v>Not Started</v>
      </c>
      <c r="K15" s="1" t="str">
        <f>'Delivery Plan'!Q57</f>
        <v>Yes</v>
      </c>
    </row>
    <row r="18" spans="1:11" x14ac:dyDescent="0.3">
      <c r="A18" s="9" t="s">
        <v>500</v>
      </c>
    </row>
    <row r="19" spans="1:11" x14ac:dyDescent="0.3">
      <c r="A19" s="19" t="s">
        <v>501</v>
      </c>
    </row>
    <row r="20" spans="1:11" x14ac:dyDescent="0.3">
      <c r="A20" s="20" t="s">
        <v>502</v>
      </c>
    </row>
    <row r="21" spans="1:11" x14ac:dyDescent="0.3">
      <c r="A21" s="21" t="s">
        <v>503</v>
      </c>
    </row>
    <row r="23" spans="1:11" x14ac:dyDescent="0.3">
      <c r="A23" s="35" t="s">
        <v>504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3">
      <c r="A24" s="46" t="s">
        <v>505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</sheetData>
  <mergeCells count="3">
    <mergeCell ref="A24:K25"/>
    <mergeCell ref="A1:DB2"/>
    <mergeCell ref="A23:K23"/>
  </mergeCells>
  <conditionalFormatting sqref="L4:DY15">
    <cfRule type="expression" dxfId="8" priority="37">
      <formula>AND(L$3&gt;=$D4,L$3&lt;=$E4)</formula>
    </cfRule>
    <cfRule type="expression" dxfId="7" priority="38">
      <formula>AND(L$3&gt;=$F4,L$3&lt;=$G4)</formula>
    </cfRule>
    <cfRule type="expression" dxfId="6" priority="39">
      <formula>AND($H4&lt;&gt;"",L$3&gt;=$H4,L$3&lt;=$I4)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B0011"/>
  </sheetPr>
  <dimension ref="A1:M110"/>
  <sheetViews>
    <sheetView showGridLines="0" workbookViewId="0">
      <pane ySplit="4" topLeftCell="A5" activePane="bottomLeft" state="frozen"/>
      <selection pane="bottomLeft" sqref="A1:I2"/>
    </sheetView>
  </sheetViews>
  <sheetFormatPr defaultRowHeight="14.4" x14ac:dyDescent="0.3"/>
  <cols>
    <col min="1" max="1" width="16" customWidth="1"/>
    <col min="2" max="2" width="15" customWidth="1"/>
    <col min="3" max="3" width="16" customWidth="1"/>
    <col min="4" max="4" width="35" customWidth="1"/>
    <col min="5" max="5" width="28" customWidth="1"/>
    <col min="6" max="6" width="55" customWidth="1"/>
    <col min="7" max="7" width="4" customWidth="1"/>
    <col min="8" max="8" width="24" customWidth="1"/>
    <col min="9" max="9" width="35" customWidth="1"/>
  </cols>
  <sheetData>
    <row r="1" spans="1:9" x14ac:dyDescent="0.3">
      <c r="A1" s="50" t="s">
        <v>506</v>
      </c>
      <c r="B1" s="29"/>
      <c r="C1" s="29"/>
      <c r="D1" s="29"/>
      <c r="E1" s="29"/>
      <c r="F1" s="29"/>
      <c r="G1" s="29"/>
      <c r="H1" s="29"/>
      <c r="I1" s="29"/>
    </row>
    <row r="2" spans="1:9" x14ac:dyDescent="0.3">
      <c r="A2" s="29"/>
      <c r="B2" s="29"/>
      <c r="C2" s="29"/>
      <c r="D2" s="29"/>
      <c r="E2" s="29"/>
      <c r="F2" s="29"/>
      <c r="G2" s="29"/>
      <c r="H2" s="29"/>
      <c r="I2" s="29"/>
    </row>
    <row r="4" spans="1:9" x14ac:dyDescent="0.3">
      <c r="A4" s="22" t="s">
        <v>507</v>
      </c>
      <c r="B4" s="22" t="s">
        <v>508</v>
      </c>
      <c r="C4" s="22" t="s">
        <v>509</v>
      </c>
      <c r="D4" s="22" t="s">
        <v>510</v>
      </c>
      <c r="E4" s="22" t="s">
        <v>511</v>
      </c>
      <c r="F4" s="22" t="s">
        <v>512</v>
      </c>
      <c r="H4" s="9" t="s">
        <v>513</v>
      </c>
    </row>
    <row r="5" spans="1:9" ht="28.8" x14ac:dyDescent="0.3">
      <c r="A5" s="15">
        <v>46251</v>
      </c>
      <c r="B5" s="1" t="s">
        <v>514</v>
      </c>
      <c r="C5" s="1" t="str">
        <f t="shared" ref="C5:C36" si="0">IF(OR(WEEKDAY(A5,2)&gt;5,E5="Yes"),"No","Yes")</f>
        <v>Yes</v>
      </c>
      <c r="D5" s="1"/>
      <c r="E5" s="1" t="s">
        <v>262</v>
      </c>
      <c r="F5" s="1" t="s">
        <v>515</v>
      </c>
      <c r="G5" s="1"/>
      <c r="H5" s="23" t="s">
        <v>507</v>
      </c>
      <c r="I5" s="23" t="s">
        <v>516</v>
      </c>
    </row>
    <row r="6" spans="1:9" ht="28.8" x14ac:dyDescent="0.3">
      <c r="A6" s="15">
        <v>46252</v>
      </c>
      <c r="B6" s="1" t="s">
        <v>517</v>
      </c>
      <c r="C6" s="1" t="str">
        <f t="shared" si="0"/>
        <v>Yes</v>
      </c>
      <c r="D6" s="1"/>
      <c r="E6" s="1" t="s">
        <v>262</v>
      </c>
      <c r="F6" s="1" t="s">
        <v>515</v>
      </c>
      <c r="G6" s="1"/>
      <c r="H6" s="15"/>
      <c r="I6" s="1"/>
    </row>
    <row r="7" spans="1:9" ht="28.8" x14ac:dyDescent="0.3">
      <c r="A7" s="15">
        <v>46253</v>
      </c>
      <c r="B7" s="1" t="s">
        <v>518</v>
      </c>
      <c r="C7" s="1" t="str">
        <f t="shared" si="0"/>
        <v>Yes</v>
      </c>
      <c r="D7" s="1"/>
      <c r="E7" s="1" t="s">
        <v>262</v>
      </c>
      <c r="F7" s="1" t="s">
        <v>515</v>
      </c>
      <c r="G7" s="1"/>
      <c r="H7" s="15"/>
      <c r="I7" s="1"/>
    </row>
    <row r="8" spans="1:9" ht="28.8" x14ac:dyDescent="0.3">
      <c r="A8" s="15">
        <v>46254</v>
      </c>
      <c r="B8" s="1" t="s">
        <v>519</v>
      </c>
      <c r="C8" s="1" t="str">
        <f t="shared" si="0"/>
        <v>Yes</v>
      </c>
      <c r="D8" s="1"/>
      <c r="E8" s="1" t="s">
        <v>262</v>
      </c>
      <c r="F8" s="1" t="s">
        <v>515</v>
      </c>
      <c r="G8" s="1"/>
      <c r="H8" s="15"/>
      <c r="I8" s="1"/>
    </row>
    <row r="9" spans="1:9" ht="28.8" x14ac:dyDescent="0.3">
      <c r="A9" s="15">
        <v>46255</v>
      </c>
      <c r="B9" s="1" t="s">
        <v>520</v>
      </c>
      <c r="C9" s="1" t="str">
        <f t="shared" si="0"/>
        <v>Yes</v>
      </c>
      <c r="D9" s="1"/>
      <c r="E9" s="1" t="s">
        <v>262</v>
      </c>
      <c r="F9" s="1" t="s">
        <v>515</v>
      </c>
      <c r="G9" s="1"/>
      <c r="H9" s="15"/>
      <c r="I9" s="1"/>
    </row>
    <row r="10" spans="1:9" ht="28.8" x14ac:dyDescent="0.3">
      <c r="A10" s="15">
        <v>46256</v>
      </c>
      <c r="B10" s="1" t="s">
        <v>521</v>
      </c>
      <c r="C10" s="1" t="str">
        <f t="shared" si="0"/>
        <v>No</v>
      </c>
      <c r="D10" s="1"/>
      <c r="E10" s="1" t="s">
        <v>262</v>
      </c>
      <c r="F10" s="1" t="s">
        <v>515</v>
      </c>
      <c r="G10" s="1"/>
      <c r="H10" s="15"/>
      <c r="I10" s="1"/>
    </row>
    <row r="11" spans="1:9" ht="28.8" x14ac:dyDescent="0.3">
      <c r="A11" s="15">
        <v>46257</v>
      </c>
      <c r="B11" s="1" t="s">
        <v>522</v>
      </c>
      <c r="C11" s="1" t="str">
        <f t="shared" si="0"/>
        <v>No</v>
      </c>
      <c r="D11" s="1"/>
      <c r="E11" s="1" t="s">
        <v>262</v>
      </c>
      <c r="F11" s="1" t="s">
        <v>515</v>
      </c>
      <c r="G11" s="1"/>
      <c r="H11" s="15"/>
      <c r="I11" s="1"/>
    </row>
    <row r="12" spans="1:9" ht="28.8" x14ac:dyDescent="0.3">
      <c r="A12" s="15">
        <v>46258</v>
      </c>
      <c r="B12" s="1" t="s">
        <v>514</v>
      </c>
      <c r="C12" s="1" t="str">
        <f t="shared" si="0"/>
        <v>Yes</v>
      </c>
      <c r="D12" s="1"/>
      <c r="E12" s="1" t="s">
        <v>262</v>
      </c>
      <c r="F12" s="1" t="s">
        <v>515</v>
      </c>
      <c r="G12" s="1"/>
      <c r="H12" s="15"/>
      <c r="I12" s="1"/>
    </row>
    <row r="13" spans="1:9" ht="28.8" x14ac:dyDescent="0.3">
      <c r="A13" s="15">
        <v>46259</v>
      </c>
      <c r="B13" s="1" t="s">
        <v>517</v>
      </c>
      <c r="C13" s="1" t="str">
        <f t="shared" si="0"/>
        <v>Yes</v>
      </c>
      <c r="D13" s="1"/>
      <c r="E13" s="1" t="s">
        <v>262</v>
      </c>
      <c r="F13" s="1" t="s">
        <v>515</v>
      </c>
      <c r="G13" s="1"/>
      <c r="H13" s="15"/>
      <c r="I13" s="1"/>
    </row>
    <row r="14" spans="1:9" ht="28.8" x14ac:dyDescent="0.3">
      <c r="A14" s="15">
        <v>46260</v>
      </c>
      <c r="B14" s="1" t="s">
        <v>518</v>
      </c>
      <c r="C14" s="1" t="str">
        <f t="shared" si="0"/>
        <v>Yes</v>
      </c>
      <c r="D14" s="1"/>
      <c r="E14" s="1" t="s">
        <v>262</v>
      </c>
      <c r="F14" s="1" t="s">
        <v>515</v>
      </c>
      <c r="G14" s="1"/>
      <c r="H14" s="15"/>
      <c r="I14" s="1"/>
    </row>
    <row r="15" spans="1:9" ht="28.8" x14ac:dyDescent="0.3">
      <c r="A15" s="15">
        <v>46261</v>
      </c>
      <c r="B15" s="1" t="s">
        <v>519</v>
      </c>
      <c r="C15" s="1" t="str">
        <f t="shared" si="0"/>
        <v>Yes</v>
      </c>
      <c r="D15" s="1"/>
      <c r="E15" s="1" t="s">
        <v>262</v>
      </c>
      <c r="F15" s="1" t="s">
        <v>515</v>
      </c>
      <c r="G15" s="1"/>
      <c r="H15" s="15"/>
      <c r="I15" s="1"/>
    </row>
    <row r="16" spans="1:9" ht="28.8" x14ac:dyDescent="0.3">
      <c r="A16" s="15">
        <v>46262</v>
      </c>
      <c r="B16" s="1" t="s">
        <v>520</v>
      </c>
      <c r="C16" s="1" t="str">
        <f t="shared" si="0"/>
        <v>Yes</v>
      </c>
      <c r="D16" s="1"/>
      <c r="E16" s="1" t="s">
        <v>262</v>
      </c>
      <c r="F16" s="1" t="s">
        <v>515</v>
      </c>
      <c r="G16" s="1"/>
      <c r="H16" s="15"/>
      <c r="I16" s="1"/>
    </row>
    <row r="17" spans="1:13" ht="28.8" x14ac:dyDescent="0.3">
      <c r="A17" s="15">
        <v>46263</v>
      </c>
      <c r="B17" s="1" t="s">
        <v>521</v>
      </c>
      <c r="C17" s="1" t="str">
        <f t="shared" si="0"/>
        <v>No</v>
      </c>
      <c r="D17" s="1"/>
      <c r="E17" s="1" t="s">
        <v>262</v>
      </c>
      <c r="F17" s="1" t="s">
        <v>515</v>
      </c>
      <c r="G17" s="1"/>
      <c r="H17" s="15"/>
      <c r="I17" s="1"/>
    </row>
    <row r="18" spans="1:13" ht="28.8" x14ac:dyDescent="0.3">
      <c r="A18" s="15">
        <v>46264</v>
      </c>
      <c r="B18" s="1" t="s">
        <v>522</v>
      </c>
      <c r="C18" s="1" t="str">
        <f t="shared" si="0"/>
        <v>No</v>
      </c>
      <c r="D18" s="1"/>
      <c r="E18" s="1" t="s">
        <v>262</v>
      </c>
      <c r="F18" s="1" t="s">
        <v>515</v>
      </c>
      <c r="G18" s="1"/>
      <c r="H18" s="15"/>
      <c r="I18" s="1"/>
    </row>
    <row r="19" spans="1:13" ht="28.8" x14ac:dyDescent="0.3">
      <c r="A19" s="15">
        <v>46265</v>
      </c>
      <c r="B19" s="1" t="s">
        <v>514</v>
      </c>
      <c r="C19" s="1" t="str">
        <f t="shared" si="0"/>
        <v>Yes</v>
      </c>
      <c r="D19" s="1"/>
      <c r="E19" s="1" t="s">
        <v>262</v>
      </c>
      <c r="F19" s="1" t="s">
        <v>515</v>
      </c>
      <c r="G19" s="1"/>
      <c r="H19" s="15"/>
      <c r="I19" s="1"/>
    </row>
    <row r="20" spans="1:13" ht="28.8" x14ac:dyDescent="0.3">
      <c r="A20" s="15">
        <v>46266</v>
      </c>
      <c r="B20" s="1" t="s">
        <v>517</v>
      </c>
      <c r="C20" s="1" t="str">
        <f t="shared" si="0"/>
        <v>Yes</v>
      </c>
      <c r="D20" s="1"/>
      <c r="E20" s="1" t="s">
        <v>262</v>
      </c>
      <c r="F20" s="1" t="s">
        <v>515</v>
      </c>
      <c r="G20" s="1"/>
      <c r="H20" s="15"/>
      <c r="I20" s="1"/>
    </row>
    <row r="21" spans="1:13" ht="28.8" x14ac:dyDescent="0.3">
      <c r="A21" s="15">
        <v>46267</v>
      </c>
      <c r="B21" s="1" t="s">
        <v>518</v>
      </c>
      <c r="C21" s="1" t="str">
        <f t="shared" si="0"/>
        <v>Yes</v>
      </c>
      <c r="D21" s="1"/>
      <c r="E21" s="1" t="s">
        <v>262</v>
      </c>
      <c r="F21" s="1" t="s">
        <v>515</v>
      </c>
      <c r="G21" s="1"/>
      <c r="H21" s="15"/>
      <c r="I21" s="1"/>
    </row>
    <row r="22" spans="1:13" ht="28.8" x14ac:dyDescent="0.3">
      <c r="A22" s="15">
        <v>46268</v>
      </c>
      <c r="B22" s="1" t="s">
        <v>519</v>
      </c>
      <c r="C22" s="1" t="str">
        <f t="shared" si="0"/>
        <v>Yes</v>
      </c>
      <c r="D22" s="1"/>
      <c r="E22" s="1" t="s">
        <v>262</v>
      </c>
      <c r="F22" s="1" t="s">
        <v>515</v>
      </c>
      <c r="G22" s="1"/>
      <c r="H22" s="15"/>
      <c r="I22" s="1"/>
    </row>
    <row r="23" spans="1:13" ht="28.8" x14ac:dyDescent="0.3">
      <c r="A23" s="15">
        <v>46269</v>
      </c>
      <c r="B23" s="1" t="s">
        <v>520</v>
      </c>
      <c r="C23" s="1" t="str">
        <f t="shared" si="0"/>
        <v>Yes</v>
      </c>
      <c r="D23" s="1"/>
      <c r="E23" s="1" t="s">
        <v>262</v>
      </c>
      <c r="F23" s="1" t="s">
        <v>515</v>
      </c>
      <c r="G23" s="1"/>
      <c r="H23" s="15"/>
      <c r="I23" s="1"/>
    </row>
    <row r="24" spans="1:13" ht="28.8" x14ac:dyDescent="0.3">
      <c r="A24" s="15">
        <v>46270</v>
      </c>
      <c r="B24" s="1" t="s">
        <v>521</v>
      </c>
      <c r="C24" s="1" t="str">
        <f t="shared" si="0"/>
        <v>No</v>
      </c>
      <c r="D24" s="1"/>
      <c r="E24" s="1" t="s">
        <v>262</v>
      </c>
      <c r="F24" s="1" t="s">
        <v>515</v>
      </c>
      <c r="G24" s="1"/>
      <c r="H24" s="15"/>
      <c r="I24" s="1"/>
    </row>
    <row r="25" spans="1:13" ht="28.8" x14ac:dyDescent="0.3">
      <c r="A25" s="15">
        <v>46271</v>
      </c>
      <c r="B25" s="1" t="s">
        <v>522</v>
      </c>
      <c r="C25" s="1" t="str">
        <f t="shared" si="0"/>
        <v>No</v>
      </c>
      <c r="D25" s="1"/>
      <c r="E25" s="1" t="s">
        <v>262</v>
      </c>
      <c r="F25" s="1" t="s">
        <v>515</v>
      </c>
      <c r="G25" s="1"/>
      <c r="H25" s="15"/>
      <c r="I25" s="1"/>
    </row>
    <row r="26" spans="1:13" ht="28.8" x14ac:dyDescent="0.3">
      <c r="A26" s="15">
        <v>46272</v>
      </c>
      <c r="B26" s="1" t="s">
        <v>514</v>
      </c>
      <c r="C26" s="1" t="str">
        <f t="shared" si="0"/>
        <v>Yes</v>
      </c>
      <c r="D26" s="1"/>
      <c r="E26" s="1" t="s">
        <v>262</v>
      </c>
      <c r="F26" s="1" t="s">
        <v>515</v>
      </c>
      <c r="G26" s="1"/>
      <c r="H26" s="15"/>
      <c r="I26" s="1"/>
    </row>
    <row r="27" spans="1:13" ht="28.8" x14ac:dyDescent="0.3">
      <c r="A27" s="15">
        <v>46273</v>
      </c>
      <c r="B27" s="1" t="s">
        <v>517</v>
      </c>
      <c r="C27" s="1" t="str">
        <f t="shared" si="0"/>
        <v>Yes</v>
      </c>
      <c r="D27" s="1"/>
      <c r="E27" s="1" t="s">
        <v>262</v>
      </c>
      <c r="F27" s="1" t="s">
        <v>515</v>
      </c>
      <c r="G27" s="1"/>
      <c r="H27" s="15"/>
      <c r="I27" s="1"/>
    </row>
    <row r="28" spans="1:13" ht="28.8" x14ac:dyDescent="0.3">
      <c r="A28" s="15">
        <v>46274</v>
      </c>
      <c r="B28" s="1" t="s">
        <v>518</v>
      </c>
      <c r="C28" s="1" t="str">
        <f t="shared" si="0"/>
        <v>Yes</v>
      </c>
      <c r="D28" s="1"/>
      <c r="E28" s="1" t="s">
        <v>262</v>
      </c>
      <c r="F28" s="1" t="s">
        <v>515</v>
      </c>
      <c r="G28" s="1"/>
      <c r="H28" s="15"/>
      <c r="I28" s="1"/>
    </row>
    <row r="29" spans="1:13" ht="28.8" x14ac:dyDescent="0.3">
      <c r="A29" s="15">
        <v>46275</v>
      </c>
      <c r="B29" s="1" t="s">
        <v>519</v>
      </c>
      <c r="C29" s="1" t="str">
        <f t="shared" si="0"/>
        <v>Yes</v>
      </c>
      <c r="D29" s="1"/>
      <c r="E29" s="1" t="s">
        <v>262</v>
      </c>
      <c r="F29" s="1" t="s">
        <v>515</v>
      </c>
      <c r="G29" s="1"/>
      <c r="H29" s="15"/>
      <c r="I29" s="1"/>
    </row>
    <row r="30" spans="1:13" ht="28.8" x14ac:dyDescent="0.3">
      <c r="A30" s="15">
        <v>46276</v>
      </c>
      <c r="B30" s="1" t="s">
        <v>520</v>
      </c>
      <c r="C30" s="1" t="str">
        <f t="shared" si="0"/>
        <v>Yes</v>
      </c>
      <c r="D30" s="1"/>
      <c r="E30" s="1" t="s">
        <v>262</v>
      </c>
      <c r="F30" s="1" t="s">
        <v>515</v>
      </c>
      <c r="G30" s="1"/>
      <c r="H30" s="15"/>
      <c r="I30" s="1"/>
    </row>
    <row r="31" spans="1:13" ht="28.8" x14ac:dyDescent="0.3">
      <c r="A31" s="15">
        <v>46277</v>
      </c>
      <c r="B31" s="1" t="s">
        <v>521</v>
      </c>
      <c r="C31" s="1" t="str">
        <f t="shared" si="0"/>
        <v>No</v>
      </c>
      <c r="D31" s="1"/>
      <c r="E31" s="1" t="s">
        <v>262</v>
      </c>
      <c r="F31" s="1" t="s">
        <v>515</v>
      </c>
      <c r="G31" s="1"/>
      <c r="H31" s="1"/>
      <c r="I31" s="1"/>
    </row>
    <row r="32" spans="1:13" ht="28.8" x14ac:dyDescent="0.3">
      <c r="A32" s="15">
        <v>46278</v>
      </c>
      <c r="B32" s="1" t="s">
        <v>522</v>
      </c>
      <c r="C32" s="1" t="str">
        <f t="shared" si="0"/>
        <v>No</v>
      </c>
      <c r="D32" s="1"/>
      <c r="E32" s="1" t="s">
        <v>262</v>
      </c>
      <c r="F32" s="1" t="s">
        <v>515</v>
      </c>
      <c r="G32" s="1"/>
      <c r="H32" s="36" t="s">
        <v>523</v>
      </c>
      <c r="I32" s="26"/>
      <c r="J32" s="26"/>
      <c r="K32" s="26"/>
      <c r="L32" s="26"/>
      <c r="M32" s="27"/>
    </row>
    <row r="33" spans="1:13" ht="28.8" x14ac:dyDescent="0.3">
      <c r="A33" s="15">
        <v>46279</v>
      </c>
      <c r="B33" s="1" t="s">
        <v>514</v>
      </c>
      <c r="C33" s="1" t="str">
        <f t="shared" si="0"/>
        <v>Yes</v>
      </c>
      <c r="D33" s="1"/>
      <c r="E33" s="1" t="s">
        <v>262</v>
      </c>
      <c r="F33" s="1" t="s">
        <v>515</v>
      </c>
      <c r="G33" s="1"/>
      <c r="H33" s="28"/>
      <c r="I33" s="29"/>
      <c r="J33" s="29"/>
      <c r="K33" s="29"/>
      <c r="L33" s="29"/>
      <c r="M33" s="30"/>
    </row>
    <row r="34" spans="1:13" ht="28.8" x14ac:dyDescent="0.3">
      <c r="A34" s="15">
        <v>46280</v>
      </c>
      <c r="B34" s="1" t="s">
        <v>517</v>
      </c>
      <c r="C34" s="1" t="str">
        <f t="shared" si="0"/>
        <v>Yes</v>
      </c>
      <c r="D34" s="1"/>
      <c r="E34" s="1" t="s">
        <v>262</v>
      </c>
      <c r="F34" s="1" t="s">
        <v>515</v>
      </c>
      <c r="G34" s="1"/>
      <c r="H34" s="28"/>
      <c r="I34" s="29"/>
      <c r="J34" s="29"/>
      <c r="K34" s="29"/>
      <c r="L34" s="29"/>
      <c r="M34" s="30"/>
    </row>
    <row r="35" spans="1:13" ht="28.8" x14ac:dyDescent="0.3">
      <c r="A35" s="15">
        <v>46281</v>
      </c>
      <c r="B35" s="1" t="s">
        <v>518</v>
      </c>
      <c r="C35" s="1" t="str">
        <f t="shared" si="0"/>
        <v>Yes</v>
      </c>
      <c r="D35" s="1"/>
      <c r="E35" s="1" t="s">
        <v>262</v>
      </c>
      <c r="F35" s="1" t="s">
        <v>515</v>
      </c>
      <c r="G35" s="1"/>
      <c r="H35" s="31"/>
      <c r="I35" s="32"/>
      <c r="J35" s="32"/>
      <c r="K35" s="32"/>
      <c r="L35" s="32"/>
      <c r="M35" s="33"/>
    </row>
    <row r="36" spans="1:13" ht="28.8" x14ac:dyDescent="0.3">
      <c r="A36" s="15">
        <v>46282</v>
      </c>
      <c r="B36" s="1" t="s">
        <v>519</v>
      </c>
      <c r="C36" s="1" t="str">
        <f t="shared" si="0"/>
        <v>Yes</v>
      </c>
      <c r="D36" s="1"/>
      <c r="E36" s="1" t="s">
        <v>262</v>
      </c>
      <c r="F36" s="1" t="s">
        <v>515</v>
      </c>
      <c r="G36" s="1"/>
      <c r="H36" s="1"/>
      <c r="I36" s="1"/>
    </row>
    <row r="37" spans="1:13" ht="28.8" x14ac:dyDescent="0.3">
      <c r="A37" s="15">
        <v>46283</v>
      </c>
      <c r="B37" s="1" t="s">
        <v>520</v>
      </c>
      <c r="C37" s="1" t="str">
        <f t="shared" ref="C37:C68" si="1">IF(OR(WEEKDAY(A37,2)&gt;5,E37="Yes"),"No","Yes")</f>
        <v>Yes</v>
      </c>
      <c r="D37" s="1"/>
      <c r="E37" s="1" t="s">
        <v>262</v>
      </c>
      <c r="F37" s="1" t="s">
        <v>515</v>
      </c>
      <c r="G37" s="1"/>
      <c r="H37" s="1"/>
      <c r="I37" s="1"/>
    </row>
    <row r="38" spans="1:13" ht="28.8" x14ac:dyDescent="0.3">
      <c r="A38" s="15">
        <v>46284</v>
      </c>
      <c r="B38" s="1" t="s">
        <v>521</v>
      </c>
      <c r="C38" s="1" t="str">
        <f t="shared" si="1"/>
        <v>No</v>
      </c>
      <c r="D38" s="1"/>
      <c r="E38" s="1" t="s">
        <v>262</v>
      </c>
      <c r="F38" s="1" t="s">
        <v>515</v>
      </c>
      <c r="G38" s="1"/>
      <c r="H38" s="1"/>
      <c r="I38" s="1"/>
    </row>
    <row r="39" spans="1:13" ht="28.8" x14ac:dyDescent="0.3">
      <c r="A39" s="15">
        <v>46285</v>
      </c>
      <c r="B39" s="1" t="s">
        <v>522</v>
      </c>
      <c r="C39" s="1" t="str">
        <f t="shared" si="1"/>
        <v>No</v>
      </c>
      <c r="D39" s="1"/>
      <c r="E39" s="1" t="s">
        <v>262</v>
      </c>
      <c r="F39" s="1" t="s">
        <v>515</v>
      </c>
      <c r="G39" s="1"/>
      <c r="H39" s="1"/>
      <c r="I39" s="1"/>
    </row>
    <row r="40" spans="1:13" ht="28.8" x14ac:dyDescent="0.3">
      <c r="A40" s="15">
        <v>46286</v>
      </c>
      <c r="B40" s="1" t="s">
        <v>514</v>
      </c>
      <c r="C40" s="1" t="str">
        <f t="shared" si="1"/>
        <v>Yes</v>
      </c>
      <c r="D40" s="1"/>
      <c r="E40" s="1" t="s">
        <v>262</v>
      </c>
      <c r="F40" s="1" t="s">
        <v>515</v>
      </c>
      <c r="G40" s="1"/>
      <c r="H40" s="1"/>
      <c r="I40" s="1"/>
    </row>
    <row r="41" spans="1:13" ht="28.8" x14ac:dyDescent="0.3">
      <c r="A41" s="15">
        <v>46287</v>
      </c>
      <c r="B41" s="1" t="s">
        <v>517</v>
      </c>
      <c r="C41" s="1" t="str">
        <f t="shared" si="1"/>
        <v>Yes</v>
      </c>
      <c r="D41" s="1"/>
      <c r="E41" s="1" t="s">
        <v>262</v>
      </c>
      <c r="F41" s="1" t="s">
        <v>515</v>
      </c>
      <c r="G41" s="1"/>
      <c r="H41" s="1"/>
      <c r="I41" s="1"/>
    </row>
    <row r="42" spans="1:13" ht="28.8" x14ac:dyDescent="0.3">
      <c r="A42" s="15">
        <v>46288</v>
      </c>
      <c r="B42" s="1" t="s">
        <v>518</v>
      </c>
      <c r="C42" s="1" t="str">
        <f t="shared" si="1"/>
        <v>Yes</v>
      </c>
      <c r="D42" s="1"/>
      <c r="E42" s="1" t="s">
        <v>262</v>
      </c>
      <c r="F42" s="1" t="s">
        <v>515</v>
      </c>
      <c r="G42" s="1"/>
      <c r="H42" s="1"/>
      <c r="I42" s="1"/>
    </row>
    <row r="43" spans="1:13" ht="28.8" x14ac:dyDescent="0.3">
      <c r="A43" s="15">
        <v>46289</v>
      </c>
      <c r="B43" s="1" t="s">
        <v>519</v>
      </c>
      <c r="C43" s="1" t="str">
        <f t="shared" si="1"/>
        <v>Yes</v>
      </c>
      <c r="D43" s="1"/>
      <c r="E43" s="1" t="s">
        <v>262</v>
      </c>
      <c r="F43" s="1" t="s">
        <v>515</v>
      </c>
      <c r="G43" s="1"/>
      <c r="H43" s="1"/>
      <c r="I43" s="1"/>
    </row>
    <row r="44" spans="1:13" ht="28.8" x14ac:dyDescent="0.3">
      <c r="A44" s="15">
        <v>46290</v>
      </c>
      <c r="B44" s="1" t="s">
        <v>520</v>
      </c>
      <c r="C44" s="1" t="str">
        <f t="shared" si="1"/>
        <v>Yes</v>
      </c>
      <c r="D44" s="1"/>
      <c r="E44" s="1" t="s">
        <v>262</v>
      </c>
      <c r="F44" s="1" t="s">
        <v>515</v>
      </c>
      <c r="G44" s="1"/>
      <c r="H44" s="1"/>
      <c r="I44" s="1"/>
    </row>
    <row r="45" spans="1:13" ht="28.8" x14ac:dyDescent="0.3">
      <c r="A45" s="15">
        <v>46291</v>
      </c>
      <c r="B45" s="1" t="s">
        <v>521</v>
      </c>
      <c r="C45" s="1" t="str">
        <f t="shared" si="1"/>
        <v>No</v>
      </c>
      <c r="D45" s="1"/>
      <c r="E45" s="1" t="s">
        <v>262</v>
      </c>
      <c r="F45" s="1" t="s">
        <v>515</v>
      </c>
      <c r="G45" s="1"/>
      <c r="H45" s="1"/>
      <c r="I45" s="1"/>
    </row>
    <row r="46" spans="1:13" ht="28.8" x14ac:dyDescent="0.3">
      <c r="A46" s="15">
        <v>46292</v>
      </c>
      <c r="B46" s="1" t="s">
        <v>522</v>
      </c>
      <c r="C46" s="1" t="str">
        <f t="shared" si="1"/>
        <v>No</v>
      </c>
      <c r="D46" s="1"/>
      <c r="E46" s="1" t="s">
        <v>262</v>
      </c>
      <c r="F46" s="1" t="s">
        <v>515</v>
      </c>
      <c r="G46" s="1"/>
      <c r="H46" s="1"/>
      <c r="I46" s="1"/>
    </row>
    <row r="47" spans="1:13" ht="28.8" x14ac:dyDescent="0.3">
      <c r="A47" s="15">
        <v>46293</v>
      </c>
      <c r="B47" s="1" t="s">
        <v>514</v>
      </c>
      <c r="C47" s="1" t="str">
        <f t="shared" si="1"/>
        <v>Yes</v>
      </c>
      <c r="D47" s="1"/>
      <c r="E47" s="1" t="s">
        <v>262</v>
      </c>
      <c r="F47" s="1" t="s">
        <v>515</v>
      </c>
      <c r="G47" s="1"/>
      <c r="H47" s="1"/>
      <c r="I47" s="1"/>
    </row>
    <row r="48" spans="1:13" ht="28.8" x14ac:dyDescent="0.3">
      <c r="A48" s="15">
        <v>46294</v>
      </c>
      <c r="B48" s="1" t="s">
        <v>517</v>
      </c>
      <c r="C48" s="1" t="str">
        <f t="shared" si="1"/>
        <v>Yes</v>
      </c>
      <c r="D48" s="1"/>
      <c r="E48" s="1" t="s">
        <v>262</v>
      </c>
      <c r="F48" s="1" t="s">
        <v>515</v>
      </c>
      <c r="G48" s="1"/>
      <c r="H48" s="1"/>
      <c r="I48" s="1"/>
    </row>
    <row r="49" spans="1:9" ht="28.8" x14ac:dyDescent="0.3">
      <c r="A49" s="15">
        <v>46295</v>
      </c>
      <c r="B49" s="1" t="s">
        <v>518</v>
      </c>
      <c r="C49" s="1" t="str">
        <f t="shared" si="1"/>
        <v>Yes</v>
      </c>
      <c r="D49" s="1"/>
      <c r="E49" s="1" t="s">
        <v>262</v>
      </c>
      <c r="F49" s="1" t="s">
        <v>515</v>
      </c>
      <c r="G49" s="1"/>
      <c r="H49" s="1"/>
      <c r="I49" s="1"/>
    </row>
    <row r="50" spans="1:9" ht="28.8" x14ac:dyDescent="0.3">
      <c r="A50" s="15">
        <v>46296</v>
      </c>
      <c r="B50" s="1" t="s">
        <v>519</v>
      </c>
      <c r="C50" s="1" t="str">
        <f t="shared" si="1"/>
        <v>Yes</v>
      </c>
      <c r="D50" s="1"/>
      <c r="E50" s="1" t="s">
        <v>262</v>
      </c>
      <c r="F50" s="1" t="s">
        <v>515</v>
      </c>
      <c r="G50" s="1"/>
      <c r="H50" s="1"/>
      <c r="I50" s="1"/>
    </row>
    <row r="51" spans="1:9" ht="28.8" x14ac:dyDescent="0.3">
      <c r="A51" s="15">
        <v>46297</v>
      </c>
      <c r="B51" s="1" t="s">
        <v>520</v>
      </c>
      <c r="C51" s="1" t="str">
        <f t="shared" si="1"/>
        <v>Yes</v>
      </c>
      <c r="D51" s="1"/>
      <c r="E51" s="1" t="s">
        <v>262</v>
      </c>
      <c r="F51" s="1" t="s">
        <v>515</v>
      </c>
      <c r="G51" s="1"/>
      <c r="H51" s="1"/>
      <c r="I51" s="1"/>
    </row>
    <row r="52" spans="1:9" ht="28.8" x14ac:dyDescent="0.3">
      <c r="A52" s="15">
        <v>46298</v>
      </c>
      <c r="B52" s="1" t="s">
        <v>521</v>
      </c>
      <c r="C52" s="1" t="str">
        <f t="shared" si="1"/>
        <v>No</v>
      </c>
      <c r="D52" s="1"/>
      <c r="E52" s="1" t="s">
        <v>262</v>
      </c>
      <c r="F52" s="1" t="s">
        <v>515</v>
      </c>
      <c r="G52" s="1"/>
      <c r="H52" s="1"/>
      <c r="I52" s="1"/>
    </row>
    <row r="53" spans="1:9" ht="28.8" x14ac:dyDescent="0.3">
      <c r="A53" s="15">
        <v>46299</v>
      </c>
      <c r="B53" s="1" t="s">
        <v>522</v>
      </c>
      <c r="C53" s="1" t="str">
        <f t="shared" si="1"/>
        <v>No</v>
      </c>
      <c r="D53" s="1"/>
      <c r="E53" s="1" t="s">
        <v>262</v>
      </c>
      <c r="F53" s="1" t="s">
        <v>515</v>
      </c>
      <c r="G53" s="1"/>
      <c r="H53" s="1"/>
      <c r="I53" s="1"/>
    </row>
    <row r="54" spans="1:9" ht="28.8" x14ac:dyDescent="0.3">
      <c r="A54" s="15">
        <v>46300</v>
      </c>
      <c r="B54" s="1" t="s">
        <v>514</v>
      </c>
      <c r="C54" s="1" t="str">
        <f t="shared" si="1"/>
        <v>Yes</v>
      </c>
      <c r="D54" s="1"/>
      <c r="E54" s="1" t="s">
        <v>262</v>
      </c>
      <c r="F54" s="1" t="s">
        <v>515</v>
      </c>
      <c r="G54" s="1"/>
      <c r="H54" s="1"/>
      <c r="I54" s="1"/>
    </row>
    <row r="55" spans="1:9" ht="28.8" x14ac:dyDescent="0.3">
      <c r="A55" s="15">
        <v>46301</v>
      </c>
      <c r="B55" s="1" t="s">
        <v>517</v>
      </c>
      <c r="C55" s="1" t="str">
        <f t="shared" si="1"/>
        <v>Yes</v>
      </c>
      <c r="D55" s="1"/>
      <c r="E55" s="1" t="s">
        <v>262</v>
      </c>
      <c r="F55" s="1" t="s">
        <v>515</v>
      </c>
      <c r="G55" s="1"/>
      <c r="H55" s="1"/>
      <c r="I55" s="1"/>
    </row>
    <row r="56" spans="1:9" ht="28.8" x14ac:dyDescent="0.3">
      <c r="A56" s="15">
        <v>46302</v>
      </c>
      <c r="B56" s="1" t="s">
        <v>518</v>
      </c>
      <c r="C56" s="1" t="str">
        <f t="shared" si="1"/>
        <v>Yes</v>
      </c>
      <c r="D56" s="1"/>
      <c r="E56" s="1" t="s">
        <v>262</v>
      </c>
      <c r="F56" s="1" t="s">
        <v>515</v>
      </c>
      <c r="G56" s="1"/>
      <c r="H56" s="1"/>
      <c r="I56" s="1"/>
    </row>
    <row r="57" spans="1:9" ht="28.8" x14ac:dyDescent="0.3">
      <c r="A57" s="15">
        <v>46303</v>
      </c>
      <c r="B57" s="1" t="s">
        <v>519</v>
      </c>
      <c r="C57" s="1" t="str">
        <f t="shared" si="1"/>
        <v>Yes</v>
      </c>
      <c r="D57" s="1"/>
      <c r="E57" s="1" t="s">
        <v>262</v>
      </c>
      <c r="F57" s="1" t="s">
        <v>515</v>
      </c>
      <c r="G57" s="1"/>
      <c r="H57" s="1"/>
      <c r="I57" s="1"/>
    </row>
    <row r="58" spans="1:9" ht="28.8" x14ac:dyDescent="0.3">
      <c r="A58" s="15">
        <v>46304</v>
      </c>
      <c r="B58" s="1" t="s">
        <v>520</v>
      </c>
      <c r="C58" s="1" t="str">
        <f t="shared" si="1"/>
        <v>Yes</v>
      </c>
      <c r="D58" s="1"/>
      <c r="E58" s="1" t="s">
        <v>262</v>
      </c>
      <c r="F58" s="1" t="s">
        <v>515</v>
      </c>
      <c r="G58" s="1"/>
      <c r="H58" s="1"/>
      <c r="I58" s="1"/>
    </row>
    <row r="59" spans="1:9" ht="28.8" x14ac:dyDescent="0.3">
      <c r="A59" s="15">
        <v>46305</v>
      </c>
      <c r="B59" s="1" t="s">
        <v>521</v>
      </c>
      <c r="C59" s="1" t="str">
        <f t="shared" si="1"/>
        <v>No</v>
      </c>
      <c r="D59" s="1"/>
      <c r="E59" s="1" t="s">
        <v>262</v>
      </c>
      <c r="F59" s="1" t="s">
        <v>515</v>
      </c>
      <c r="G59" s="1"/>
      <c r="H59" s="1"/>
      <c r="I59" s="1"/>
    </row>
    <row r="60" spans="1:9" ht="28.8" x14ac:dyDescent="0.3">
      <c r="A60" s="15">
        <v>46306</v>
      </c>
      <c r="B60" s="1" t="s">
        <v>522</v>
      </c>
      <c r="C60" s="1" t="str">
        <f t="shared" si="1"/>
        <v>No</v>
      </c>
      <c r="D60" s="1"/>
      <c r="E60" s="1" t="s">
        <v>262</v>
      </c>
      <c r="F60" s="1" t="s">
        <v>515</v>
      </c>
      <c r="G60" s="1"/>
      <c r="H60" s="1"/>
      <c r="I60" s="1"/>
    </row>
    <row r="61" spans="1:9" ht="28.8" x14ac:dyDescent="0.3">
      <c r="A61" s="15">
        <v>46307</v>
      </c>
      <c r="B61" s="1" t="s">
        <v>514</v>
      </c>
      <c r="C61" s="1" t="str">
        <f t="shared" si="1"/>
        <v>Yes</v>
      </c>
      <c r="D61" s="1"/>
      <c r="E61" s="1" t="s">
        <v>262</v>
      </c>
      <c r="F61" s="1" t="s">
        <v>515</v>
      </c>
      <c r="G61" s="1"/>
      <c r="H61" s="1"/>
      <c r="I61" s="1"/>
    </row>
    <row r="62" spans="1:9" ht="28.8" x14ac:dyDescent="0.3">
      <c r="A62" s="15">
        <v>46308</v>
      </c>
      <c r="B62" s="1" t="s">
        <v>517</v>
      </c>
      <c r="C62" s="1" t="str">
        <f t="shared" si="1"/>
        <v>Yes</v>
      </c>
      <c r="D62" s="1"/>
      <c r="E62" s="1" t="s">
        <v>262</v>
      </c>
      <c r="F62" s="1" t="s">
        <v>515</v>
      </c>
      <c r="G62" s="1"/>
      <c r="H62" s="1"/>
      <c r="I62" s="1"/>
    </row>
    <row r="63" spans="1:9" ht="28.8" x14ac:dyDescent="0.3">
      <c r="A63" s="15">
        <v>46309</v>
      </c>
      <c r="B63" s="1" t="s">
        <v>518</v>
      </c>
      <c r="C63" s="1" t="str">
        <f t="shared" si="1"/>
        <v>Yes</v>
      </c>
      <c r="D63" s="1"/>
      <c r="E63" s="1" t="s">
        <v>262</v>
      </c>
      <c r="F63" s="1" t="s">
        <v>515</v>
      </c>
      <c r="G63" s="1"/>
      <c r="H63" s="1"/>
      <c r="I63" s="1"/>
    </row>
    <row r="64" spans="1:9" ht="28.8" x14ac:dyDescent="0.3">
      <c r="A64" s="15">
        <v>46310</v>
      </c>
      <c r="B64" s="1" t="s">
        <v>519</v>
      </c>
      <c r="C64" s="1" t="str">
        <f t="shared" si="1"/>
        <v>Yes</v>
      </c>
      <c r="D64" s="1"/>
      <c r="E64" s="1" t="s">
        <v>262</v>
      </c>
      <c r="F64" s="1" t="s">
        <v>515</v>
      </c>
      <c r="G64" s="1"/>
      <c r="H64" s="1"/>
      <c r="I64" s="1"/>
    </row>
    <row r="65" spans="1:9" ht="28.8" x14ac:dyDescent="0.3">
      <c r="A65" s="15">
        <v>46311</v>
      </c>
      <c r="B65" s="1" t="s">
        <v>520</v>
      </c>
      <c r="C65" s="1" t="str">
        <f t="shared" si="1"/>
        <v>Yes</v>
      </c>
      <c r="D65" s="1"/>
      <c r="E65" s="1" t="s">
        <v>262</v>
      </c>
      <c r="F65" s="1" t="s">
        <v>515</v>
      </c>
      <c r="G65" s="1"/>
      <c r="H65" s="1"/>
      <c r="I65" s="1"/>
    </row>
    <row r="66" spans="1:9" ht="28.8" x14ac:dyDescent="0.3">
      <c r="A66" s="15">
        <v>46312</v>
      </c>
      <c r="B66" s="1" t="s">
        <v>521</v>
      </c>
      <c r="C66" s="1" t="str">
        <f t="shared" si="1"/>
        <v>No</v>
      </c>
      <c r="D66" s="1"/>
      <c r="E66" s="1" t="s">
        <v>262</v>
      </c>
      <c r="F66" s="1" t="s">
        <v>515</v>
      </c>
      <c r="G66" s="1"/>
      <c r="H66" s="1"/>
      <c r="I66" s="1"/>
    </row>
    <row r="67" spans="1:9" ht="28.8" x14ac:dyDescent="0.3">
      <c r="A67" s="15">
        <v>46313</v>
      </c>
      <c r="B67" s="1" t="s">
        <v>522</v>
      </c>
      <c r="C67" s="1" t="str">
        <f t="shared" si="1"/>
        <v>No</v>
      </c>
      <c r="D67" s="1"/>
      <c r="E67" s="1" t="s">
        <v>262</v>
      </c>
      <c r="F67" s="1" t="s">
        <v>515</v>
      </c>
      <c r="G67" s="1"/>
      <c r="H67" s="1"/>
      <c r="I67" s="1"/>
    </row>
    <row r="68" spans="1:9" ht="28.8" x14ac:dyDescent="0.3">
      <c r="A68" s="15">
        <v>46314</v>
      </c>
      <c r="B68" s="1" t="s">
        <v>514</v>
      </c>
      <c r="C68" s="1" t="str">
        <f t="shared" si="1"/>
        <v>Yes</v>
      </c>
      <c r="D68" s="1"/>
      <c r="E68" s="1" t="s">
        <v>262</v>
      </c>
      <c r="F68" s="1" t="s">
        <v>515</v>
      </c>
      <c r="G68" s="1"/>
      <c r="H68" s="1"/>
      <c r="I68" s="1"/>
    </row>
    <row r="69" spans="1:9" ht="28.8" x14ac:dyDescent="0.3">
      <c r="A69" s="15">
        <v>46315</v>
      </c>
      <c r="B69" s="1" t="s">
        <v>517</v>
      </c>
      <c r="C69" s="1" t="str">
        <f t="shared" ref="C69:C100" si="2">IF(OR(WEEKDAY(A69,2)&gt;5,E69="Yes"),"No","Yes")</f>
        <v>Yes</v>
      </c>
      <c r="D69" s="1"/>
      <c r="E69" s="1" t="s">
        <v>262</v>
      </c>
      <c r="F69" s="1" t="s">
        <v>515</v>
      </c>
      <c r="G69" s="1"/>
      <c r="H69" s="1"/>
      <c r="I69" s="1"/>
    </row>
    <row r="70" spans="1:9" ht="28.8" x14ac:dyDescent="0.3">
      <c r="A70" s="15">
        <v>46316</v>
      </c>
      <c r="B70" s="1" t="s">
        <v>518</v>
      </c>
      <c r="C70" s="1" t="str">
        <f t="shared" si="2"/>
        <v>Yes</v>
      </c>
      <c r="D70" s="1"/>
      <c r="E70" s="1" t="s">
        <v>262</v>
      </c>
      <c r="F70" s="1" t="s">
        <v>515</v>
      </c>
      <c r="G70" s="1"/>
      <c r="H70" s="1"/>
      <c r="I70" s="1"/>
    </row>
    <row r="71" spans="1:9" ht="28.8" x14ac:dyDescent="0.3">
      <c r="A71" s="15">
        <v>46317</v>
      </c>
      <c r="B71" s="1" t="s">
        <v>519</v>
      </c>
      <c r="C71" s="1" t="str">
        <f t="shared" si="2"/>
        <v>Yes</v>
      </c>
      <c r="D71" s="1"/>
      <c r="E71" s="1" t="s">
        <v>262</v>
      </c>
      <c r="F71" s="1" t="s">
        <v>515</v>
      </c>
      <c r="G71" s="1"/>
      <c r="H71" s="1"/>
      <c r="I71" s="1"/>
    </row>
    <row r="72" spans="1:9" ht="28.8" x14ac:dyDescent="0.3">
      <c r="A72" s="15">
        <v>46318</v>
      </c>
      <c r="B72" s="1" t="s">
        <v>520</v>
      </c>
      <c r="C72" s="1" t="str">
        <f t="shared" si="2"/>
        <v>Yes</v>
      </c>
      <c r="D72" s="1"/>
      <c r="E72" s="1" t="s">
        <v>262</v>
      </c>
      <c r="F72" s="1" t="s">
        <v>515</v>
      </c>
      <c r="G72" s="1"/>
      <c r="H72" s="1"/>
      <c r="I72" s="1"/>
    </row>
    <row r="73" spans="1:9" ht="28.8" x14ac:dyDescent="0.3">
      <c r="A73" s="15">
        <v>46319</v>
      </c>
      <c r="B73" s="1" t="s">
        <v>521</v>
      </c>
      <c r="C73" s="1" t="str">
        <f t="shared" si="2"/>
        <v>No</v>
      </c>
      <c r="D73" s="1"/>
      <c r="E73" s="1" t="s">
        <v>262</v>
      </c>
      <c r="F73" s="1" t="s">
        <v>515</v>
      </c>
      <c r="G73" s="1"/>
      <c r="H73" s="1"/>
      <c r="I73" s="1"/>
    </row>
    <row r="74" spans="1:9" ht="28.8" x14ac:dyDescent="0.3">
      <c r="A74" s="15">
        <v>46320</v>
      </c>
      <c r="B74" s="1" t="s">
        <v>522</v>
      </c>
      <c r="C74" s="1" t="str">
        <f t="shared" si="2"/>
        <v>No</v>
      </c>
      <c r="D74" s="1"/>
      <c r="E74" s="1" t="s">
        <v>262</v>
      </c>
      <c r="F74" s="1" t="s">
        <v>515</v>
      </c>
      <c r="G74" s="1"/>
      <c r="H74" s="1"/>
      <c r="I74" s="1"/>
    </row>
    <row r="75" spans="1:9" ht="28.8" x14ac:dyDescent="0.3">
      <c r="A75" s="15">
        <v>46321</v>
      </c>
      <c r="B75" s="1" t="s">
        <v>514</v>
      </c>
      <c r="C75" s="1" t="str">
        <f t="shared" si="2"/>
        <v>Yes</v>
      </c>
      <c r="D75" s="1"/>
      <c r="E75" s="1" t="s">
        <v>262</v>
      </c>
      <c r="F75" s="1" t="s">
        <v>515</v>
      </c>
      <c r="G75" s="1"/>
      <c r="H75" s="1"/>
      <c r="I75" s="1"/>
    </row>
    <row r="76" spans="1:9" ht="28.8" x14ac:dyDescent="0.3">
      <c r="A76" s="15">
        <v>46322</v>
      </c>
      <c r="B76" s="1" t="s">
        <v>517</v>
      </c>
      <c r="C76" s="1" t="str">
        <f t="shared" si="2"/>
        <v>Yes</v>
      </c>
      <c r="D76" s="1"/>
      <c r="E76" s="1" t="s">
        <v>262</v>
      </c>
      <c r="F76" s="1" t="s">
        <v>515</v>
      </c>
      <c r="G76" s="1"/>
      <c r="H76" s="1"/>
      <c r="I76" s="1"/>
    </row>
    <row r="77" spans="1:9" ht="28.8" x14ac:dyDescent="0.3">
      <c r="A77" s="15">
        <v>46323</v>
      </c>
      <c r="B77" s="1" t="s">
        <v>518</v>
      </c>
      <c r="C77" s="1" t="str">
        <f t="shared" si="2"/>
        <v>Yes</v>
      </c>
      <c r="D77" s="1"/>
      <c r="E77" s="1" t="s">
        <v>262</v>
      </c>
      <c r="F77" s="1" t="s">
        <v>515</v>
      </c>
      <c r="G77" s="1"/>
      <c r="H77" s="1"/>
      <c r="I77" s="1"/>
    </row>
    <row r="78" spans="1:9" ht="28.8" x14ac:dyDescent="0.3">
      <c r="A78" s="15">
        <v>46324</v>
      </c>
      <c r="B78" s="1" t="s">
        <v>519</v>
      </c>
      <c r="C78" s="1" t="str">
        <f t="shared" si="2"/>
        <v>Yes</v>
      </c>
      <c r="D78" s="1"/>
      <c r="E78" s="1" t="s">
        <v>262</v>
      </c>
      <c r="F78" s="1" t="s">
        <v>515</v>
      </c>
      <c r="G78" s="1"/>
      <c r="H78" s="1"/>
      <c r="I78" s="1"/>
    </row>
    <row r="79" spans="1:9" ht="28.8" x14ac:dyDescent="0.3">
      <c r="A79" s="15">
        <v>46325</v>
      </c>
      <c r="B79" s="1" t="s">
        <v>520</v>
      </c>
      <c r="C79" s="1" t="str">
        <f t="shared" si="2"/>
        <v>Yes</v>
      </c>
      <c r="D79" s="1"/>
      <c r="E79" s="1" t="s">
        <v>262</v>
      </c>
      <c r="F79" s="1" t="s">
        <v>515</v>
      </c>
      <c r="G79" s="1"/>
      <c r="H79" s="1"/>
      <c r="I79" s="1"/>
    </row>
    <row r="80" spans="1:9" ht="28.8" x14ac:dyDescent="0.3">
      <c r="A80" s="15">
        <v>46326</v>
      </c>
      <c r="B80" s="1" t="s">
        <v>521</v>
      </c>
      <c r="C80" s="1" t="str">
        <f t="shared" si="2"/>
        <v>No</v>
      </c>
      <c r="D80" s="1"/>
      <c r="E80" s="1" t="s">
        <v>262</v>
      </c>
      <c r="F80" s="1" t="s">
        <v>515</v>
      </c>
      <c r="G80" s="1"/>
      <c r="H80" s="1"/>
      <c r="I80" s="1"/>
    </row>
    <row r="81" spans="1:9" ht="28.8" x14ac:dyDescent="0.3">
      <c r="A81" s="15">
        <v>46327</v>
      </c>
      <c r="B81" s="1" t="s">
        <v>522</v>
      </c>
      <c r="C81" s="1" t="str">
        <f t="shared" si="2"/>
        <v>No</v>
      </c>
      <c r="D81" s="1"/>
      <c r="E81" s="1" t="s">
        <v>262</v>
      </c>
      <c r="F81" s="1" t="s">
        <v>515</v>
      </c>
      <c r="G81" s="1"/>
      <c r="H81" s="1"/>
      <c r="I81" s="1"/>
    </row>
    <row r="82" spans="1:9" ht="28.8" x14ac:dyDescent="0.3">
      <c r="A82" s="15">
        <v>46328</v>
      </c>
      <c r="B82" s="1" t="s">
        <v>514</v>
      </c>
      <c r="C82" s="1" t="str">
        <f t="shared" si="2"/>
        <v>Yes</v>
      </c>
      <c r="D82" s="1"/>
      <c r="E82" s="1" t="s">
        <v>262</v>
      </c>
      <c r="F82" s="1" t="s">
        <v>515</v>
      </c>
      <c r="G82" s="1"/>
      <c r="H82" s="1"/>
      <c r="I82" s="1"/>
    </row>
    <row r="83" spans="1:9" ht="28.8" x14ac:dyDescent="0.3">
      <c r="A83" s="15">
        <v>46329</v>
      </c>
      <c r="B83" s="1" t="s">
        <v>517</v>
      </c>
      <c r="C83" s="1" t="str">
        <f t="shared" si="2"/>
        <v>Yes</v>
      </c>
      <c r="D83" s="1"/>
      <c r="E83" s="1" t="s">
        <v>262</v>
      </c>
      <c r="F83" s="1" t="s">
        <v>515</v>
      </c>
      <c r="G83" s="1"/>
      <c r="H83" s="1"/>
      <c r="I83" s="1"/>
    </row>
    <row r="84" spans="1:9" ht="28.8" x14ac:dyDescent="0.3">
      <c r="A84" s="15">
        <v>46330</v>
      </c>
      <c r="B84" s="1" t="s">
        <v>518</v>
      </c>
      <c r="C84" s="1" t="str">
        <f t="shared" si="2"/>
        <v>Yes</v>
      </c>
      <c r="D84" s="1"/>
      <c r="E84" s="1" t="s">
        <v>262</v>
      </c>
      <c r="F84" s="1" t="s">
        <v>515</v>
      </c>
      <c r="G84" s="1"/>
      <c r="H84" s="1"/>
      <c r="I84" s="1"/>
    </row>
    <row r="85" spans="1:9" ht="28.8" x14ac:dyDescent="0.3">
      <c r="A85" s="15">
        <v>46331</v>
      </c>
      <c r="B85" s="1" t="s">
        <v>519</v>
      </c>
      <c r="C85" s="1" t="str">
        <f t="shared" si="2"/>
        <v>Yes</v>
      </c>
      <c r="D85" s="1"/>
      <c r="E85" s="1" t="s">
        <v>262</v>
      </c>
      <c r="F85" s="1" t="s">
        <v>515</v>
      </c>
      <c r="G85" s="1"/>
      <c r="H85" s="1"/>
      <c r="I85" s="1"/>
    </row>
    <row r="86" spans="1:9" ht="28.8" x14ac:dyDescent="0.3">
      <c r="A86" s="15">
        <v>46332</v>
      </c>
      <c r="B86" s="1" t="s">
        <v>520</v>
      </c>
      <c r="C86" s="1" t="str">
        <f t="shared" si="2"/>
        <v>Yes</v>
      </c>
      <c r="D86" s="1"/>
      <c r="E86" s="1" t="s">
        <v>262</v>
      </c>
      <c r="F86" s="1" t="s">
        <v>515</v>
      </c>
      <c r="G86" s="1"/>
      <c r="H86" s="1"/>
      <c r="I86" s="1"/>
    </row>
    <row r="87" spans="1:9" ht="28.8" x14ac:dyDescent="0.3">
      <c r="A87" s="15">
        <v>46333</v>
      </c>
      <c r="B87" s="1" t="s">
        <v>521</v>
      </c>
      <c r="C87" s="1" t="str">
        <f t="shared" si="2"/>
        <v>No</v>
      </c>
      <c r="D87" s="1"/>
      <c r="E87" s="1" t="s">
        <v>262</v>
      </c>
      <c r="F87" s="1" t="s">
        <v>515</v>
      </c>
      <c r="G87" s="1"/>
      <c r="H87" s="1"/>
      <c r="I87" s="1"/>
    </row>
    <row r="88" spans="1:9" ht="28.8" x14ac:dyDescent="0.3">
      <c r="A88" s="15">
        <v>46334</v>
      </c>
      <c r="B88" s="1" t="s">
        <v>522</v>
      </c>
      <c r="C88" s="1" t="str">
        <f t="shared" si="2"/>
        <v>No</v>
      </c>
      <c r="D88" s="1"/>
      <c r="E88" s="1" t="s">
        <v>262</v>
      </c>
      <c r="F88" s="1" t="s">
        <v>515</v>
      </c>
      <c r="G88" s="1"/>
      <c r="H88" s="1"/>
      <c r="I88" s="1"/>
    </row>
    <row r="89" spans="1:9" ht="28.8" x14ac:dyDescent="0.3">
      <c r="A89" s="15">
        <v>46335</v>
      </c>
      <c r="B89" s="1" t="s">
        <v>514</v>
      </c>
      <c r="C89" s="1" t="str">
        <f t="shared" si="2"/>
        <v>Yes</v>
      </c>
      <c r="D89" s="1"/>
      <c r="E89" s="1" t="s">
        <v>262</v>
      </c>
      <c r="F89" s="1" t="s">
        <v>515</v>
      </c>
      <c r="G89" s="1"/>
      <c r="H89" s="1"/>
      <c r="I89" s="1"/>
    </row>
    <row r="90" spans="1:9" ht="28.8" x14ac:dyDescent="0.3">
      <c r="A90" s="15">
        <v>46336</v>
      </c>
      <c r="B90" s="1" t="s">
        <v>517</v>
      </c>
      <c r="C90" s="1" t="str">
        <f t="shared" si="2"/>
        <v>Yes</v>
      </c>
      <c r="D90" s="1"/>
      <c r="E90" s="1" t="s">
        <v>262</v>
      </c>
      <c r="F90" s="1" t="s">
        <v>515</v>
      </c>
      <c r="G90" s="1"/>
      <c r="H90" s="1"/>
      <c r="I90" s="1"/>
    </row>
    <row r="91" spans="1:9" ht="28.8" x14ac:dyDescent="0.3">
      <c r="A91" s="15">
        <v>46337</v>
      </c>
      <c r="B91" s="1" t="s">
        <v>518</v>
      </c>
      <c r="C91" s="1" t="str">
        <f t="shared" si="2"/>
        <v>Yes</v>
      </c>
      <c r="D91" s="1"/>
      <c r="E91" s="1" t="s">
        <v>262</v>
      </c>
      <c r="F91" s="1" t="s">
        <v>515</v>
      </c>
      <c r="G91" s="1"/>
      <c r="H91" s="1"/>
      <c r="I91" s="1"/>
    </row>
    <row r="92" spans="1:9" ht="28.8" x14ac:dyDescent="0.3">
      <c r="A92" s="15">
        <v>46338</v>
      </c>
      <c r="B92" s="1" t="s">
        <v>519</v>
      </c>
      <c r="C92" s="1" t="str">
        <f t="shared" si="2"/>
        <v>Yes</v>
      </c>
      <c r="D92" s="1"/>
      <c r="E92" s="1" t="s">
        <v>262</v>
      </c>
      <c r="F92" s="1" t="s">
        <v>515</v>
      </c>
      <c r="G92" s="1"/>
      <c r="H92" s="1"/>
      <c r="I92" s="1"/>
    </row>
    <row r="93" spans="1:9" ht="28.8" x14ac:dyDescent="0.3">
      <c r="A93" s="15">
        <v>46339</v>
      </c>
      <c r="B93" s="1" t="s">
        <v>520</v>
      </c>
      <c r="C93" s="1" t="str">
        <f t="shared" si="2"/>
        <v>Yes</v>
      </c>
      <c r="D93" s="1"/>
      <c r="E93" s="1" t="s">
        <v>262</v>
      </c>
      <c r="F93" s="1" t="s">
        <v>515</v>
      </c>
      <c r="G93" s="1"/>
      <c r="H93" s="1"/>
      <c r="I93" s="1"/>
    </row>
    <row r="94" spans="1:9" ht="28.8" x14ac:dyDescent="0.3">
      <c r="A94" s="15">
        <v>46340</v>
      </c>
      <c r="B94" s="1" t="s">
        <v>521</v>
      </c>
      <c r="C94" s="1" t="str">
        <f t="shared" si="2"/>
        <v>No</v>
      </c>
      <c r="D94" s="1"/>
      <c r="E94" s="1" t="s">
        <v>262</v>
      </c>
      <c r="F94" s="1" t="s">
        <v>515</v>
      </c>
      <c r="G94" s="1"/>
      <c r="H94" s="1"/>
      <c r="I94" s="1"/>
    </row>
    <row r="95" spans="1:9" ht="28.8" x14ac:dyDescent="0.3">
      <c r="A95" s="15">
        <v>46341</v>
      </c>
      <c r="B95" s="1" t="s">
        <v>522</v>
      </c>
      <c r="C95" s="1" t="str">
        <f t="shared" si="2"/>
        <v>No</v>
      </c>
      <c r="D95" s="1"/>
      <c r="E95" s="1" t="s">
        <v>262</v>
      </c>
      <c r="F95" s="1" t="s">
        <v>515</v>
      </c>
      <c r="G95" s="1"/>
      <c r="H95" s="1"/>
      <c r="I95" s="1"/>
    </row>
    <row r="96" spans="1:9" ht="28.8" x14ac:dyDescent="0.3">
      <c r="A96" s="15">
        <v>46342</v>
      </c>
      <c r="B96" s="1" t="s">
        <v>514</v>
      </c>
      <c r="C96" s="1" t="str">
        <f t="shared" si="2"/>
        <v>Yes</v>
      </c>
      <c r="D96" s="1"/>
      <c r="E96" s="1" t="s">
        <v>262</v>
      </c>
      <c r="F96" s="1" t="s">
        <v>515</v>
      </c>
      <c r="G96" s="1"/>
      <c r="H96" s="1"/>
      <c r="I96" s="1"/>
    </row>
    <row r="97" spans="1:9" ht="28.8" x14ac:dyDescent="0.3">
      <c r="A97" s="15">
        <v>46343</v>
      </c>
      <c r="B97" s="1" t="s">
        <v>517</v>
      </c>
      <c r="C97" s="1" t="str">
        <f t="shared" si="2"/>
        <v>Yes</v>
      </c>
      <c r="D97" s="1"/>
      <c r="E97" s="1" t="s">
        <v>262</v>
      </c>
      <c r="F97" s="1" t="s">
        <v>515</v>
      </c>
      <c r="G97" s="1"/>
      <c r="H97" s="1"/>
      <c r="I97" s="1"/>
    </row>
    <row r="98" spans="1:9" ht="28.8" x14ac:dyDescent="0.3">
      <c r="A98" s="15">
        <v>46344</v>
      </c>
      <c r="B98" s="1" t="s">
        <v>518</v>
      </c>
      <c r="C98" s="1" t="str">
        <f t="shared" si="2"/>
        <v>Yes</v>
      </c>
      <c r="D98" s="1"/>
      <c r="E98" s="1" t="s">
        <v>262</v>
      </c>
      <c r="F98" s="1" t="s">
        <v>515</v>
      </c>
      <c r="G98" s="1"/>
      <c r="H98" s="1"/>
      <c r="I98" s="1"/>
    </row>
    <row r="99" spans="1:9" ht="28.8" x14ac:dyDescent="0.3">
      <c r="A99" s="15">
        <v>46345</v>
      </c>
      <c r="B99" s="1" t="s">
        <v>519</v>
      </c>
      <c r="C99" s="1" t="str">
        <f t="shared" si="2"/>
        <v>Yes</v>
      </c>
      <c r="D99" s="1"/>
      <c r="E99" s="1" t="s">
        <v>262</v>
      </c>
      <c r="F99" s="1" t="s">
        <v>515</v>
      </c>
      <c r="G99" s="1"/>
      <c r="H99" s="1"/>
      <c r="I99" s="1"/>
    </row>
    <row r="100" spans="1:9" ht="28.8" x14ac:dyDescent="0.3">
      <c r="A100" s="15">
        <v>46346</v>
      </c>
      <c r="B100" s="1" t="s">
        <v>520</v>
      </c>
      <c r="C100" s="1" t="str">
        <f t="shared" si="2"/>
        <v>Yes</v>
      </c>
      <c r="D100" s="1"/>
      <c r="E100" s="1" t="s">
        <v>262</v>
      </c>
      <c r="F100" s="1" t="s">
        <v>515</v>
      </c>
      <c r="G100" s="1"/>
      <c r="H100" s="1"/>
      <c r="I100" s="1"/>
    </row>
    <row r="101" spans="1:9" ht="28.8" x14ac:dyDescent="0.3">
      <c r="A101" s="15">
        <v>46347</v>
      </c>
      <c r="B101" s="1" t="s">
        <v>521</v>
      </c>
      <c r="C101" s="1" t="str">
        <f t="shared" ref="C101:C110" si="3">IF(OR(WEEKDAY(A101,2)&gt;5,E101="Yes"),"No","Yes")</f>
        <v>No</v>
      </c>
      <c r="D101" s="1"/>
      <c r="E101" s="1" t="s">
        <v>262</v>
      </c>
      <c r="F101" s="1" t="s">
        <v>515</v>
      </c>
      <c r="G101" s="1"/>
      <c r="H101" s="1"/>
      <c r="I101" s="1"/>
    </row>
    <row r="102" spans="1:9" ht="28.8" x14ac:dyDescent="0.3">
      <c r="A102" s="15">
        <v>46348</v>
      </c>
      <c r="B102" s="1" t="s">
        <v>522</v>
      </c>
      <c r="C102" s="1" t="str">
        <f t="shared" si="3"/>
        <v>No</v>
      </c>
      <c r="D102" s="1"/>
      <c r="E102" s="1" t="s">
        <v>262</v>
      </c>
      <c r="F102" s="1" t="s">
        <v>515</v>
      </c>
      <c r="G102" s="1"/>
      <c r="H102" s="1"/>
      <c r="I102" s="1"/>
    </row>
    <row r="103" spans="1:9" ht="28.8" x14ac:dyDescent="0.3">
      <c r="A103" s="15">
        <v>46349</v>
      </c>
      <c r="B103" s="1" t="s">
        <v>514</v>
      </c>
      <c r="C103" s="1" t="str">
        <f t="shared" si="3"/>
        <v>Yes</v>
      </c>
      <c r="D103" s="1"/>
      <c r="E103" s="1" t="s">
        <v>262</v>
      </c>
      <c r="F103" s="1" t="s">
        <v>515</v>
      </c>
      <c r="G103" s="1"/>
      <c r="H103" s="1"/>
      <c r="I103" s="1"/>
    </row>
    <row r="104" spans="1:9" ht="28.8" x14ac:dyDescent="0.3">
      <c r="A104" s="15">
        <v>46350</v>
      </c>
      <c r="B104" s="1" t="s">
        <v>517</v>
      </c>
      <c r="C104" s="1" t="str">
        <f t="shared" si="3"/>
        <v>Yes</v>
      </c>
      <c r="D104" s="1"/>
      <c r="E104" s="1" t="s">
        <v>262</v>
      </c>
      <c r="F104" s="1" t="s">
        <v>515</v>
      </c>
      <c r="G104" s="1"/>
      <c r="H104" s="1"/>
      <c r="I104" s="1"/>
    </row>
    <row r="105" spans="1:9" ht="28.8" x14ac:dyDescent="0.3">
      <c r="A105" s="15">
        <v>46351</v>
      </c>
      <c r="B105" s="1" t="s">
        <v>518</v>
      </c>
      <c r="C105" s="1" t="str">
        <f t="shared" si="3"/>
        <v>Yes</v>
      </c>
      <c r="D105" s="1"/>
      <c r="E105" s="1" t="s">
        <v>262</v>
      </c>
      <c r="F105" s="1" t="s">
        <v>515</v>
      </c>
      <c r="G105" s="1"/>
      <c r="H105" s="1"/>
      <c r="I105" s="1"/>
    </row>
    <row r="106" spans="1:9" ht="28.8" x14ac:dyDescent="0.3">
      <c r="A106" s="15">
        <v>46352</v>
      </c>
      <c r="B106" s="1" t="s">
        <v>519</v>
      </c>
      <c r="C106" s="1" t="str">
        <f t="shared" si="3"/>
        <v>Yes</v>
      </c>
      <c r="D106" s="1"/>
      <c r="E106" s="1" t="s">
        <v>262</v>
      </c>
      <c r="F106" s="1" t="s">
        <v>515</v>
      </c>
      <c r="G106" s="1"/>
      <c r="H106" s="1"/>
      <c r="I106" s="1"/>
    </row>
    <row r="107" spans="1:9" ht="28.8" x14ac:dyDescent="0.3">
      <c r="A107" s="15">
        <v>46353</v>
      </c>
      <c r="B107" s="1" t="s">
        <v>520</v>
      </c>
      <c r="C107" s="1" t="str">
        <f t="shared" si="3"/>
        <v>Yes</v>
      </c>
      <c r="D107" s="1"/>
      <c r="E107" s="1" t="s">
        <v>262</v>
      </c>
      <c r="F107" s="1" t="s">
        <v>515</v>
      </c>
      <c r="G107" s="1"/>
      <c r="H107" s="1"/>
      <c r="I107" s="1"/>
    </row>
    <row r="108" spans="1:9" ht="28.8" x14ac:dyDescent="0.3">
      <c r="A108" s="15">
        <v>46354</v>
      </c>
      <c r="B108" s="1" t="s">
        <v>521</v>
      </c>
      <c r="C108" s="1" t="str">
        <f t="shared" si="3"/>
        <v>No</v>
      </c>
      <c r="D108" s="1"/>
      <c r="E108" s="1" t="s">
        <v>262</v>
      </c>
      <c r="F108" s="1" t="s">
        <v>515</v>
      </c>
      <c r="G108" s="1"/>
      <c r="H108" s="1"/>
      <c r="I108" s="1"/>
    </row>
    <row r="109" spans="1:9" ht="28.8" x14ac:dyDescent="0.3">
      <c r="A109" s="15">
        <v>46355</v>
      </c>
      <c r="B109" s="1" t="s">
        <v>522</v>
      </c>
      <c r="C109" s="1" t="str">
        <f t="shared" si="3"/>
        <v>No</v>
      </c>
      <c r="D109" s="1"/>
      <c r="E109" s="1" t="s">
        <v>262</v>
      </c>
      <c r="F109" s="1" t="s">
        <v>515</v>
      </c>
      <c r="G109" s="1"/>
      <c r="H109" s="1"/>
      <c r="I109" s="1"/>
    </row>
    <row r="110" spans="1:9" ht="28.8" x14ac:dyDescent="0.3">
      <c r="A110" s="15">
        <v>46356</v>
      </c>
      <c r="B110" s="1" t="s">
        <v>514</v>
      </c>
      <c r="C110" s="1" t="str">
        <f t="shared" si="3"/>
        <v>Yes</v>
      </c>
      <c r="D110" s="1"/>
      <c r="E110" s="1" t="s">
        <v>262</v>
      </c>
      <c r="F110" s="1" t="s">
        <v>515</v>
      </c>
      <c r="G110" s="1"/>
      <c r="H110" s="1"/>
      <c r="I110" s="1"/>
    </row>
  </sheetData>
  <mergeCells count="2">
    <mergeCell ref="A1:I2"/>
    <mergeCell ref="H32:M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B0011"/>
    <pageSetUpPr fitToPage="1"/>
  </sheetPr>
  <dimension ref="A1:K22"/>
  <sheetViews>
    <sheetView showGridLines="0"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20" customWidth="1"/>
    <col min="2" max="2" width="32" customWidth="1"/>
    <col min="3" max="3" width="16" customWidth="1"/>
    <col min="4" max="4" width="15" customWidth="1"/>
    <col min="5" max="5" width="70" customWidth="1"/>
    <col min="6" max="7" width="16" customWidth="1"/>
    <col min="8" max="8" width="18" customWidth="1"/>
    <col min="9" max="9" width="16" customWidth="1"/>
    <col min="10" max="10" width="15" customWidth="1"/>
    <col min="11" max="11" width="42" customWidth="1"/>
  </cols>
  <sheetData>
    <row r="1" spans="1:11" ht="25.05" customHeight="1" x14ac:dyDescent="0.3">
      <c r="A1" s="50" t="s">
        <v>524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3">
      <c r="A2" s="7" t="s">
        <v>525</v>
      </c>
      <c r="B2" s="7" t="s">
        <v>526</v>
      </c>
      <c r="C2" s="7" t="s">
        <v>527</v>
      </c>
      <c r="D2" s="7" t="s">
        <v>528</v>
      </c>
      <c r="E2" s="7" t="s">
        <v>529</v>
      </c>
      <c r="F2" s="7" t="s">
        <v>530</v>
      </c>
      <c r="G2" s="7" t="s">
        <v>531</v>
      </c>
      <c r="H2" s="7" t="s">
        <v>532</v>
      </c>
      <c r="I2" s="7" t="s">
        <v>533</v>
      </c>
      <c r="J2" s="7" t="s">
        <v>534</v>
      </c>
      <c r="K2" s="7" t="s">
        <v>535</v>
      </c>
    </row>
    <row r="3" spans="1:11" ht="28.8" x14ac:dyDescent="0.3">
      <c r="A3" s="1" t="s">
        <v>536</v>
      </c>
      <c r="B3" s="1" t="s">
        <v>537</v>
      </c>
      <c r="C3" s="1" t="s">
        <v>36</v>
      </c>
      <c r="D3" s="1" t="s">
        <v>538</v>
      </c>
      <c r="E3" s="1" t="s">
        <v>539</v>
      </c>
      <c r="F3" s="1" t="s">
        <v>540</v>
      </c>
      <c r="G3" s="1" t="s">
        <v>540</v>
      </c>
      <c r="H3" s="1" t="s">
        <v>541</v>
      </c>
      <c r="I3" s="1" t="s">
        <v>540</v>
      </c>
      <c r="J3" s="1" t="s">
        <v>542</v>
      </c>
      <c r="K3" s="1" t="s">
        <v>543</v>
      </c>
    </row>
    <row r="4" spans="1:11" ht="28.8" x14ac:dyDescent="0.3">
      <c r="A4" s="1" t="s">
        <v>544</v>
      </c>
      <c r="B4" s="1" t="s">
        <v>545</v>
      </c>
      <c r="C4" s="1" t="s">
        <v>36</v>
      </c>
      <c r="D4" s="1" t="s">
        <v>538</v>
      </c>
      <c r="E4" s="1" t="s">
        <v>546</v>
      </c>
      <c r="F4" s="1" t="s">
        <v>540</v>
      </c>
      <c r="G4" s="1" t="s">
        <v>540</v>
      </c>
      <c r="H4" s="1" t="s">
        <v>541</v>
      </c>
      <c r="I4" s="1" t="s">
        <v>540</v>
      </c>
      <c r="J4" s="1" t="s">
        <v>542</v>
      </c>
      <c r="K4" s="1" t="s">
        <v>543</v>
      </c>
    </row>
    <row r="5" spans="1:11" ht="28.8" x14ac:dyDescent="0.3">
      <c r="A5" s="1" t="s">
        <v>547</v>
      </c>
      <c r="B5" s="1" t="s">
        <v>548</v>
      </c>
      <c r="C5" s="1" t="s">
        <v>36</v>
      </c>
      <c r="D5" s="1" t="s">
        <v>538</v>
      </c>
      <c r="E5" s="1" t="s">
        <v>549</v>
      </c>
      <c r="F5" s="1" t="s">
        <v>540</v>
      </c>
      <c r="G5" s="1" t="s">
        <v>540</v>
      </c>
      <c r="H5" s="1" t="s">
        <v>541</v>
      </c>
      <c r="I5" s="1" t="s">
        <v>540</v>
      </c>
      <c r="J5" s="1" t="s">
        <v>550</v>
      </c>
      <c r="K5" s="1" t="s">
        <v>543</v>
      </c>
    </row>
    <row r="6" spans="1:11" ht="28.8" x14ac:dyDescent="0.3">
      <c r="A6" s="1" t="s">
        <v>551</v>
      </c>
      <c r="B6" s="1" t="s">
        <v>552</v>
      </c>
      <c r="C6" s="1" t="s">
        <v>262</v>
      </c>
      <c r="D6" s="1" t="s">
        <v>553</v>
      </c>
      <c r="E6" s="1" t="s">
        <v>554</v>
      </c>
      <c r="F6" s="1" t="s">
        <v>540</v>
      </c>
      <c r="G6" s="1" t="s">
        <v>540</v>
      </c>
      <c r="H6" s="1" t="s">
        <v>541</v>
      </c>
      <c r="I6" s="1" t="s">
        <v>540</v>
      </c>
      <c r="J6" s="1" t="s">
        <v>542</v>
      </c>
      <c r="K6" s="1" t="s">
        <v>555</v>
      </c>
    </row>
    <row r="7" spans="1:11" ht="43.2" x14ac:dyDescent="0.3">
      <c r="A7" s="1" t="s">
        <v>556</v>
      </c>
      <c r="B7" s="1" t="s">
        <v>557</v>
      </c>
      <c r="C7" s="1" t="s">
        <v>262</v>
      </c>
      <c r="D7" s="1" t="s">
        <v>558</v>
      </c>
      <c r="E7" s="1" t="s">
        <v>559</v>
      </c>
      <c r="F7" s="1" t="s">
        <v>540</v>
      </c>
      <c r="G7" s="1" t="s">
        <v>540</v>
      </c>
      <c r="H7" s="1" t="s">
        <v>541</v>
      </c>
      <c r="I7" s="1" t="s">
        <v>540</v>
      </c>
      <c r="J7" s="1" t="s">
        <v>550</v>
      </c>
      <c r="K7" s="1" t="s">
        <v>560</v>
      </c>
    </row>
    <row r="8" spans="1:11" ht="28.8" x14ac:dyDescent="0.3">
      <c r="A8" s="1" t="s">
        <v>561</v>
      </c>
      <c r="B8" s="1" t="s">
        <v>562</v>
      </c>
      <c r="C8" s="1" t="s">
        <v>563</v>
      </c>
      <c r="D8" s="1" t="s">
        <v>564</v>
      </c>
      <c r="E8" s="1" t="s">
        <v>565</v>
      </c>
      <c r="F8" s="1" t="s">
        <v>564</v>
      </c>
      <c r="G8" s="1" t="s">
        <v>564</v>
      </c>
      <c r="H8" s="1" t="s">
        <v>564</v>
      </c>
      <c r="I8" s="1" t="s">
        <v>564</v>
      </c>
      <c r="J8" s="1" t="s">
        <v>542</v>
      </c>
      <c r="K8" s="1" t="s">
        <v>566</v>
      </c>
    </row>
    <row r="9" spans="1:11" ht="28.8" x14ac:dyDescent="0.3">
      <c r="A9" s="1" t="s">
        <v>426</v>
      </c>
      <c r="B9" s="1" t="s">
        <v>567</v>
      </c>
      <c r="C9" s="1" t="s">
        <v>563</v>
      </c>
      <c r="D9" s="1" t="s">
        <v>564</v>
      </c>
      <c r="E9" s="1" t="s">
        <v>568</v>
      </c>
      <c r="F9" s="1" t="s">
        <v>564</v>
      </c>
      <c r="G9" s="1" t="s">
        <v>564</v>
      </c>
      <c r="H9" s="1" t="s">
        <v>564</v>
      </c>
      <c r="I9" s="1" t="s">
        <v>564</v>
      </c>
      <c r="J9" s="1" t="s">
        <v>542</v>
      </c>
      <c r="K9" s="1" t="s">
        <v>569</v>
      </c>
    </row>
    <row r="11" spans="1:11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 x14ac:dyDescent="0.3">
      <c r="A12" s="40" t="s">
        <v>570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5" spans="1:1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">
      <c r="A16" s="35" t="s">
        <v>571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">
      <c r="A17" s="29" t="s">
        <v>572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3">
      <c r="A18" s="29" t="s">
        <v>573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3">
      <c r="A19" s="29" t="s">
        <v>574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 x14ac:dyDescent="0.3">
      <c r="A20" s="29" t="s">
        <v>575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 x14ac:dyDescent="0.3">
      <c r="A21" s="29" t="s">
        <v>576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3">
      <c r="A22" t="s">
        <v>577</v>
      </c>
    </row>
  </sheetData>
  <autoFilter ref="A2:K22" xr:uid="{00000000-0009-0000-0000-000005000000}"/>
  <mergeCells count="10">
    <mergeCell ref="A11:K11"/>
    <mergeCell ref="A19:K19"/>
    <mergeCell ref="A1:K1"/>
    <mergeCell ref="A17:K17"/>
    <mergeCell ref="A18:K18"/>
    <mergeCell ref="A12:K13"/>
    <mergeCell ref="A21:K21"/>
    <mergeCell ref="A20:K20"/>
    <mergeCell ref="A15:K15"/>
    <mergeCell ref="A16:K16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B0011"/>
    <pageSetUpPr fitToPage="1"/>
  </sheetPr>
  <dimension ref="A1:L15"/>
  <sheetViews>
    <sheetView showGridLines="0"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1" width="10" customWidth="1"/>
    <col min="2" max="2" width="34" customWidth="1"/>
    <col min="3" max="3" width="28" customWidth="1"/>
    <col min="4" max="4" width="15" customWidth="1"/>
    <col min="5" max="5" width="18" customWidth="1"/>
    <col min="6" max="6" width="38" customWidth="1"/>
    <col min="7" max="7" width="15" customWidth="1"/>
    <col min="8" max="8" width="45" customWidth="1"/>
    <col min="9" max="9" width="55" customWidth="1"/>
    <col min="10" max="10" width="30" customWidth="1"/>
    <col min="11" max="11" width="15" customWidth="1"/>
    <col min="12" max="12" width="35" customWidth="1"/>
  </cols>
  <sheetData>
    <row r="1" spans="1:12" ht="25.05" customHeight="1" x14ac:dyDescent="0.3">
      <c r="A1" s="50" t="s">
        <v>578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3">
      <c r="A2" s="7" t="s">
        <v>220</v>
      </c>
      <c r="B2" s="7" t="s">
        <v>27</v>
      </c>
      <c r="C2" s="7" t="s">
        <v>579</v>
      </c>
      <c r="D2" s="7" t="s">
        <v>580</v>
      </c>
      <c r="E2" s="7" t="s">
        <v>581</v>
      </c>
      <c r="F2" s="7" t="s">
        <v>582</v>
      </c>
      <c r="G2" s="7" t="s">
        <v>583</v>
      </c>
      <c r="H2" s="7" t="s">
        <v>584</v>
      </c>
      <c r="I2" s="7" t="s">
        <v>585</v>
      </c>
      <c r="J2" s="7" t="s">
        <v>586</v>
      </c>
      <c r="K2" s="7" t="s">
        <v>30</v>
      </c>
      <c r="L2" s="7" t="s">
        <v>239</v>
      </c>
    </row>
    <row r="3" spans="1:12" x14ac:dyDescent="0.3">
      <c r="A3" s="1" t="s">
        <v>587</v>
      </c>
      <c r="B3" s="8" t="s">
        <v>588</v>
      </c>
      <c r="C3" s="8" t="s">
        <v>589</v>
      </c>
      <c r="D3" s="1" t="s">
        <v>268</v>
      </c>
      <c r="E3" s="1" t="s">
        <v>39</v>
      </c>
      <c r="F3" s="8" t="s">
        <v>590</v>
      </c>
      <c r="G3" s="1" t="s">
        <v>550</v>
      </c>
      <c r="H3" s="8" t="s">
        <v>591</v>
      </c>
      <c r="I3" s="8" t="s">
        <v>592</v>
      </c>
      <c r="J3" s="1" t="s">
        <v>593</v>
      </c>
      <c r="K3" s="1" t="s">
        <v>594</v>
      </c>
      <c r="L3" s="1"/>
    </row>
    <row r="4" spans="1:12" x14ac:dyDescent="0.3">
      <c r="A4" s="1" t="s">
        <v>595</v>
      </c>
      <c r="B4" s="8" t="s">
        <v>596</v>
      </c>
      <c r="C4" s="8" t="s">
        <v>589</v>
      </c>
      <c r="D4" s="1" t="s">
        <v>268</v>
      </c>
      <c r="E4" s="1" t="s">
        <v>39</v>
      </c>
      <c r="F4" s="8" t="s">
        <v>590</v>
      </c>
      <c r="G4" s="1" t="s">
        <v>550</v>
      </c>
      <c r="H4" s="8" t="s">
        <v>597</v>
      </c>
      <c r="I4" s="8" t="s">
        <v>598</v>
      </c>
      <c r="J4" s="1" t="s">
        <v>593</v>
      </c>
      <c r="K4" s="1" t="s">
        <v>594</v>
      </c>
      <c r="L4" s="1"/>
    </row>
    <row r="5" spans="1:12" ht="28.8" x14ac:dyDescent="0.3">
      <c r="A5" s="1" t="s">
        <v>599</v>
      </c>
      <c r="B5" s="8" t="s">
        <v>600</v>
      </c>
      <c r="C5" s="8" t="s">
        <v>601</v>
      </c>
      <c r="D5" s="1" t="s">
        <v>290</v>
      </c>
      <c r="E5" s="1" t="s">
        <v>51</v>
      </c>
      <c r="F5" s="8" t="s">
        <v>602</v>
      </c>
      <c r="G5" s="1" t="s">
        <v>542</v>
      </c>
      <c r="H5" s="8" t="s">
        <v>603</v>
      </c>
      <c r="I5" s="8" t="s">
        <v>604</v>
      </c>
      <c r="J5" s="1" t="s">
        <v>83</v>
      </c>
      <c r="K5" s="1" t="s">
        <v>594</v>
      </c>
      <c r="L5" s="1"/>
    </row>
    <row r="6" spans="1:12" ht="28.8" x14ac:dyDescent="0.3">
      <c r="A6" s="1" t="s">
        <v>605</v>
      </c>
      <c r="B6" s="8" t="s">
        <v>606</v>
      </c>
      <c r="C6" s="8" t="s">
        <v>607</v>
      </c>
      <c r="D6" s="1" t="s">
        <v>349</v>
      </c>
      <c r="E6" s="1" t="s">
        <v>57</v>
      </c>
      <c r="F6" s="8" t="s">
        <v>608</v>
      </c>
      <c r="G6" s="1" t="s">
        <v>542</v>
      </c>
      <c r="H6" s="8" t="s">
        <v>609</v>
      </c>
      <c r="I6" s="8" t="s">
        <v>610</v>
      </c>
      <c r="J6" s="1" t="s">
        <v>83</v>
      </c>
      <c r="K6" s="1" t="s">
        <v>594</v>
      </c>
      <c r="L6" s="1"/>
    </row>
    <row r="7" spans="1:12" x14ac:dyDescent="0.3">
      <c r="A7" s="1" t="s">
        <v>611</v>
      </c>
      <c r="B7" s="8" t="s">
        <v>612</v>
      </c>
      <c r="C7" s="8" t="s">
        <v>607</v>
      </c>
      <c r="D7" s="1" t="s">
        <v>349</v>
      </c>
      <c r="E7" s="1" t="s">
        <v>67</v>
      </c>
      <c r="F7" s="8" t="s">
        <v>608</v>
      </c>
      <c r="G7" s="1" t="s">
        <v>542</v>
      </c>
      <c r="H7" s="8" t="s">
        <v>609</v>
      </c>
      <c r="I7" s="8" t="s">
        <v>613</v>
      </c>
      <c r="J7" s="1" t="s">
        <v>83</v>
      </c>
      <c r="K7" s="1" t="s">
        <v>594</v>
      </c>
      <c r="L7" s="1"/>
    </row>
    <row r="8" spans="1:12" ht="28.8" x14ac:dyDescent="0.3">
      <c r="A8" s="1" t="s">
        <v>614</v>
      </c>
      <c r="B8" s="8" t="s">
        <v>615</v>
      </c>
      <c r="C8" s="8" t="s">
        <v>616</v>
      </c>
      <c r="D8" s="1" t="s">
        <v>307</v>
      </c>
      <c r="E8" s="1" t="s">
        <v>617</v>
      </c>
      <c r="F8" s="8" t="s">
        <v>618</v>
      </c>
      <c r="G8" s="1" t="s">
        <v>550</v>
      </c>
      <c r="H8" s="8" t="s">
        <v>619</v>
      </c>
      <c r="I8" s="8" t="s">
        <v>620</v>
      </c>
      <c r="J8" s="1" t="s">
        <v>621</v>
      </c>
      <c r="K8" s="1" t="s">
        <v>594</v>
      </c>
      <c r="L8" s="1"/>
    </row>
    <row r="9" spans="1:12" ht="28.8" x14ac:dyDescent="0.3">
      <c r="A9" s="1" t="s">
        <v>622</v>
      </c>
      <c r="B9" s="8" t="s">
        <v>623</v>
      </c>
      <c r="C9" s="8" t="s">
        <v>624</v>
      </c>
      <c r="D9" s="1" t="s">
        <v>307</v>
      </c>
      <c r="E9" s="1" t="s">
        <v>617</v>
      </c>
      <c r="F9" s="8" t="s">
        <v>625</v>
      </c>
      <c r="G9" s="1" t="s">
        <v>550</v>
      </c>
      <c r="H9" s="8" t="s">
        <v>626</v>
      </c>
      <c r="I9" s="8" t="s">
        <v>627</v>
      </c>
      <c r="J9" s="1" t="s">
        <v>628</v>
      </c>
      <c r="K9" s="1" t="s">
        <v>594</v>
      </c>
      <c r="L9" s="1"/>
    </row>
    <row r="10" spans="1:12" ht="28.8" x14ac:dyDescent="0.3">
      <c r="A10" s="1" t="s">
        <v>629</v>
      </c>
      <c r="B10" s="8" t="s">
        <v>630</v>
      </c>
      <c r="C10" s="8" t="s">
        <v>616</v>
      </c>
      <c r="D10" s="1" t="s">
        <v>307</v>
      </c>
      <c r="E10" s="1" t="s">
        <v>45</v>
      </c>
      <c r="F10" s="8" t="s">
        <v>631</v>
      </c>
      <c r="G10" s="1" t="s">
        <v>550</v>
      </c>
      <c r="H10" s="8" t="s">
        <v>632</v>
      </c>
      <c r="I10" s="8" t="s">
        <v>633</v>
      </c>
      <c r="J10" s="1" t="s">
        <v>628</v>
      </c>
      <c r="K10" s="1" t="s">
        <v>594</v>
      </c>
      <c r="L10" s="1"/>
    </row>
    <row r="11" spans="1:12" ht="28.8" x14ac:dyDescent="0.3">
      <c r="A11" s="1" t="s">
        <v>634</v>
      </c>
      <c r="B11" s="8" t="s">
        <v>635</v>
      </c>
      <c r="C11" s="8" t="s">
        <v>636</v>
      </c>
      <c r="D11" s="1" t="s">
        <v>392</v>
      </c>
      <c r="E11" s="1" t="s">
        <v>75</v>
      </c>
      <c r="F11" s="8" t="s">
        <v>637</v>
      </c>
      <c r="G11" s="1" t="s">
        <v>542</v>
      </c>
      <c r="H11" s="8" t="s">
        <v>638</v>
      </c>
      <c r="I11" s="8" t="s">
        <v>639</v>
      </c>
      <c r="J11" s="1" t="s">
        <v>83</v>
      </c>
      <c r="K11" s="1" t="s">
        <v>594</v>
      </c>
      <c r="L11" s="1"/>
    </row>
    <row r="12" spans="1:12" ht="28.8" x14ac:dyDescent="0.3">
      <c r="A12" s="1" t="s">
        <v>640</v>
      </c>
      <c r="B12" s="8" t="s">
        <v>641</v>
      </c>
      <c r="C12" s="8" t="s">
        <v>642</v>
      </c>
      <c r="D12" s="1" t="s">
        <v>421</v>
      </c>
      <c r="E12" s="1" t="s">
        <v>75</v>
      </c>
      <c r="F12" s="8" t="s">
        <v>643</v>
      </c>
      <c r="G12" s="1" t="s">
        <v>550</v>
      </c>
      <c r="H12" s="8" t="s">
        <v>644</v>
      </c>
      <c r="I12" s="8" t="s">
        <v>645</v>
      </c>
      <c r="J12" s="1" t="s">
        <v>646</v>
      </c>
      <c r="K12" s="1" t="s">
        <v>594</v>
      </c>
      <c r="L12" s="1"/>
    </row>
    <row r="13" spans="1:12" ht="28.8" x14ac:dyDescent="0.3">
      <c r="A13" s="1" t="s">
        <v>647</v>
      </c>
      <c r="B13" s="8" t="s">
        <v>648</v>
      </c>
      <c r="C13" s="8" t="s">
        <v>649</v>
      </c>
      <c r="D13" s="1" t="s">
        <v>392</v>
      </c>
      <c r="E13" s="1" t="s">
        <v>81</v>
      </c>
      <c r="F13" s="8" t="s">
        <v>650</v>
      </c>
      <c r="G13" s="1" t="s">
        <v>550</v>
      </c>
      <c r="H13" s="8" t="s">
        <v>651</v>
      </c>
      <c r="I13" s="8" t="s">
        <v>652</v>
      </c>
      <c r="J13" s="1" t="s">
        <v>653</v>
      </c>
      <c r="K13" s="1" t="s">
        <v>594</v>
      </c>
      <c r="L13" s="1"/>
    </row>
    <row r="14" spans="1:12" ht="28.8" x14ac:dyDescent="0.3">
      <c r="A14" s="1" t="s">
        <v>654</v>
      </c>
      <c r="B14" s="8" t="s">
        <v>655</v>
      </c>
      <c r="C14" s="8" t="s">
        <v>656</v>
      </c>
      <c r="D14" s="1" t="s">
        <v>442</v>
      </c>
      <c r="E14" s="1" t="s">
        <v>81</v>
      </c>
      <c r="F14" s="8" t="s">
        <v>657</v>
      </c>
      <c r="G14" s="1" t="s">
        <v>550</v>
      </c>
      <c r="H14" s="8" t="s">
        <v>658</v>
      </c>
      <c r="I14" s="8" t="s">
        <v>659</v>
      </c>
      <c r="J14" s="1" t="s">
        <v>660</v>
      </c>
      <c r="K14" s="1" t="s">
        <v>594</v>
      </c>
      <c r="L14" s="1"/>
    </row>
    <row r="15" spans="1:12" x14ac:dyDescent="0.3">
      <c r="A15" s="1" t="s">
        <v>661</v>
      </c>
      <c r="B15" s="8" t="s">
        <v>474</v>
      </c>
      <c r="C15" s="8" t="s">
        <v>662</v>
      </c>
      <c r="D15" s="1" t="s">
        <v>476</v>
      </c>
      <c r="E15" s="1" t="s">
        <v>663</v>
      </c>
      <c r="F15" s="8" t="s">
        <v>664</v>
      </c>
      <c r="G15" s="1" t="s">
        <v>550</v>
      </c>
      <c r="H15" s="8" t="s">
        <v>665</v>
      </c>
      <c r="I15" s="8" t="s">
        <v>666</v>
      </c>
      <c r="J15" s="1" t="s">
        <v>667</v>
      </c>
      <c r="K15" s="1" t="s">
        <v>594</v>
      </c>
      <c r="L15" s="1"/>
    </row>
  </sheetData>
  <autoFilter ref="A2:L15" xr:uid="{00000000-0009-0000-0000-000006000000}"/>
  <mergeCells count="1">
    <mergeCell ref="A1:L1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B0011"/>
    <pageSetUpPr fitToPage="1"/>
  </sheetPr>
  <dimension ref="A1:L14"/>
  <sheetViews>
    <sheetView showGridLines="0"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1" width="9" customWidth="1"/>
    <col min="2" max="2" width="15" customWidth="1"/>
    <col min="3" max="3" width="55" customWidth="1"/>
    <col min="4" max="4" width="20" customWidth="1"/>
    <col min="5" max="7" width="15" customWidth="1"/>
    <col min="8" max="8" width="25" customWidth="1"/>
    <col min="9" max="9" width="55" customWidth="1"/>
    <col min="10" max="11" width="15" customWidth="1"/>
    <col min="12" max="12" width="20" customWidth="1"/>
  </cols>
  <sheetData>
    <row r="1" spans="1:12" ht="25.05" customHeight="1" x14ac:dyDescent="0.3">
      <c r="A1" s="50" t="s">
        <v>668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8.8" x14ac:dyDescent="0.3">
      <c r="A2" s="7" t="s">
        <v>220</v>
      </c>
      <c r="B2" s="7" t="s">
        <v>669</v>
      </c>
      <c r="C2" s="7" t="s">
        <v>670</v>
      </c>
      <c r="D2" s="7" t="s">
        <v>671</v>
      </c>
      <c r="E2" s="7" t="s">
        <v>672</v>
      </c>
      <c r="F2" s="7" t="s">
        <v>583</v>
      </c>
      <c r="G2" s="7" t="s">
        <v>673</v>
      </c>
      <c r="H2" s="7" t="s">
        <v>499</v>
      </c>
      <c r="I2" s="7" t="s">
        <v>674</v>
      </c>
      <c r="J2" s="7" t="s">
        <v>675</v>
      </c>
      <c r="K2" s="7" t="s">
        <v>30</v>
      </c>
      <c r="L2" s="7" t="s">
        <v>676</v>
      </c>
    </row>
    <row r="3" spans="1:12" ht="28.8" x14ac:dyDescent="0.3">
      <c r="A3" s="1" t="s">
        <v>677</v>
      </c>
      <c r="B3" s="1" t="s">
        <v>678</v>
      </c>
      <c r="C3" s="1" t="s">
        <v>679</v>
      </c>
      <c r="D3" s="1" t="s">
        <v>680</v>
      </c>
      <c r="E3" s="1" t="s">
        <v>550</v>
      </c>
      <c r="F3" s="1" t="s">
        <v>550</v>
      </c>
      <c r="G3" s="1" t="s">
        <v>542</v>
      </c>
      <c r="H3" s="1" t="s">
        <v>34</v>
      </c>
      <c r="I3" s="1" t="s">
        <v>681</v>
      </c>
      <c r="J3" s="1" t="s">
        <v>290</v>
      </c>
      <c r="K3" s="1" t="s">
        <v>594</v>
      </c>
      <c r="L3" s="1" t="s">
        <v>36</v>
      </c>
    </row>
    <row r="4" spans="1:12" x14ac:dyDescent="0.3">
      <c r="A4" s="1" t="s">
        <v>682</v>
      </c>
      <c r="B4" s="1" t="s">
        <v>678</v>
      </c>
      <c r="C4" s="1" t="s">
        <v>683</v>
      </c>
      <c r="D4" s="1" t="s">
        <v>684</v>
      </c>
      <c r="E4" s="1" t="s">
        <v>685</v>
      </c>
      <c r="F4" s="1" t="s">
        <v>550</v>
      </c>
      <c r="G4" s="1" t="s">
        <v>542</v>
      </c>
      <c r="H4" s="1" t="s">
        <v>34</v>
      </c>
      <c r="I4" s="1" t="s">
        <v>686</v>
      </c>
      <c r="J4" s="1" t="s">
        <v>349</v>
      </c>
      <c r="K4" s="1" t="s">
        <v>594</v>
      </c>
      <c r="L4" s="1" t="s">
        <v>36</v>
      </c>
    </row>
    <row r="5" spans="1:12" ht="28.8" x14ac:dyDescent="0.3">
      <c r="A5" s="1" t="s">
        <v>687</v>
      </c>
      <c r="B5" s="1" t="s">
        <v>678</v>
      </c>
      <c r="C5" s="1" t="s">
        <v>688</v>
      </c>
      <c r="D5" s="1" t="s">
        <v>617</v>
      </c>
      <c r="E5" s="1" t="s">
        <v>685</v>
      </c>
      <c r="F5" s="1" t="s">
        <v>550</v>
      </c>
      <c r="G5" s="1" t="s">
        <v>550</v>
      </c>
      <c r="H5" s="1" t="s">
        <v>544</v>
      </c>
      <c r="I5" s="1" t="s">
        <v>689</v>
      </c>
      <c r="J5" s="1" t="s">
        <v>307</v>
      </c>
      <c r="K5" s="1" t="s">
        <v>594</v>
      </c>
      <c r="L5" s="1" t="s">
        <v>36</v>
      </c>
    </row>
    <row r="6" spans="1:12" ht="28.8" x14ac:dyDescent="0.3">
      <c r="A6" s="1" t="s">
        <v>690</v>
      </c>
      <c r="B6" s="1" t="s">
        <v>678</v>
      </c>
      <c r="C6" s="1" t="s">
        <v>691</v>
      </c>
      <c r="D6" s="1" t="s">
        <v>692</v>
      </c>
      <c r="E6" s="1" t="s">
        <v>550</v>
      </c>
      <c r="F6" s="1" t="s">
        <v>685</v>
      </c>
      <c r="G6" s="1" t="s">
        <v>550</v>
      </c>
      <c r="H6" s="1" t="s">
        <v>34</v>
      </c>
      <c r="I6" s="1" t="s">
        <v>693</v>
      </c>
      <c r="J6" s="1" t="s">
        <v>337</v>
      </c>
      <c r="K6" s="1" t="s">
        <v>594</v>
      </c>
      <c r="L6" s="1" t="s">
        <v>36</v>
      </c>
    </row>
    <row r="7" spans="1:12" x14ac:dyDescent="0.3">
      <c r="A7" s="1" t="s">
        <v>694</v>
      </c>
      <c r="B7" s="1" t="s">
        <v>678</v>
      </c>
      <c r="C7" s="1" t="s">
        <v>695</v>
      </c>
      <c r="D7" s="1" t="s">
        <v>663</v>
      </c>
      <c r="E7" s="1" t="s">
        <v>685</v>
      </c>
      <c r="F7" s="1" t="s">
        <v>685</v>
      </c>
      <c r="G7" s="1" t="s">
        <v>685</v>
      </c>
      <c r="H7" s="1" t="s">
        <v>34</v>
      </c>
      <c r="I7" s="1" t="s">
        <v>696</v>
      </c>
      <c r="J7" s="1" t="s">
        <v>697</v>
      </c>
      <c r="K7" s="1" t="s">
        <v>594</v>
      </c>
      <c r="L7" s="1" t="s">
        <v>262</v>
      </c>
    </row>
    <row r="8" spans="1:12" x14ac:dyDescent="0.3">
      <c r="A8" s="1" t="s">
        <v>698</v>
      </c>
      <c r="B8" s="1" t="s">
        <v>678</v>
      </c>
      <c r="C8" s="1" t="s">
        <v>699</v>
      </c>
      <c r="D8" s="1" t="s">
        <v>75</v>
      </c>
      <c r="E8" s="1" t="s">
        <v>685</v>
      </c>
      <c r="F8" s="1" t="s">
        <v>550</v>
      </c>
      <c r="G8" s="1" t="s">
        <v>542</v>
      </c>
      <c r="H8" s="1" t="s">
        <v>34</v>
      </c>
      <c r="I8" s="1" t="s">
        <v>700</v>
      </c>
      <c r="J8" s="1" t="s">
        <v>392</v>
      </c>
      <c r="K8" s="1" t="s">
        <v>594</v>
      </c>
      <c r="L8" s="1" t="s">
        <v>36</v>
      </c>
    </row>
    <row r="9" spans="1:12" ht="28.8" x14ac:dyDescent="0.3">
      <c r="A9" s="1" t="s">
        <v>701</v>
      </c>
      <c r="B9" s="1" t="s">
        <v>678</v>
      </c>
      <c r="C9" s="1" t="s">
        <v>702</v>
      </c>
      <c r="D9" s="1" t="s">
        <v>75</v>
      </c>
      <c r="E9" s="1" t="s">
        <v>685</v>
      </c>
      <c r="F9" s="1" t="s">
        <v>550</v>
      </c>
      <c r="G9" s="1" t="s">
        <v>550</v>
      </c>
      <c r="H9" s="1" t="s">
        <v>642</v>
      </c>
      <c r="I9" s="1" t="s">
        <v>703</v>
      </c>
      <c r="J9" s="1" t="s">
        <v>421</v>
      </c>
      <c r="K9" s="1" t="s">
        <v>594</v>
      </c>
      <c r="L9" s="1" t="s">
        <v>36</v>
      </c>
    </row>
    <row r="10" spans="1:12" ht="28.8" x14ac:dyDescent="0.3">
      <c r="A10" s="1" t="s">
        <v>704</v>
      </c>
      <c r="B10" s="1" t="s">
        <v>678</v>
      </c>
      <c r="C10" s="1" t="s">
        <v>705</v>
      </c>
      <c r="D10" s="1" t="s">
        <v>81</v>
      </c>
      <c r="E10" s="1" t="s">
        <v>685</v>
      </c>
      <c r="F10" s="1" t="s">
        <v>550</v>
      </c>
      <c r="G10" s="1" t="s">
        <v>550</v>
      </c>
      <c r="H10" s="1" t="s">
        <v>34</v>
      </c>
      <c r="I10" s="1" t="s">
        <v>706</v>
      </c>
      <c r="J10" s="1" t="s">
        <v>392</v>
      </c>
      <c r="K10" s="1" t="s">
        <v>594</v>
      </c>
      <c r="L10" s="1" t="s">
        <v>36</v>
      </c>
    </row>
    <row r="11" spans="1:12" x14ac:dyDescent="0.3">
      <c r="A11" s="1" t="s">
        <v>707</v>
      </c>
      <c r="B11" s="1" t="s">
        <v>678</v>
      </c>
      <c r="C11" s="1" t="s">
        <v>708</v>
      </c>
      <c r="D11" s="1" t="s">
        <v>709</v>
      </c>
      <c r="E11" s="1" t="s">
        <v>550</v>
      </c>
      <c r="F11" s="1" t="s">
        <v>550</v>
      </c>
      <c r="G11" s="1" t="s">
        <v>542</v>
      </c>
      <c r="H11" s="1" t="s">
        <v>34</v>
      </c>
      <c r="I11" s="1" t="s">
        <v>710</v>
      </c>
      <c r="J11" s="1" t="s">
        <v>538</v>
      </c>
      <c r="K11" s="1" t="s">
        <v>594</v>
      </c>
      <c r="L11" s="1" t="s">
        <v>36</v>
      </c>
    </row>
    <row r="12" spans="1:12" x14ac:dyDescent="0.3">
      <c r="A12" s="1" t="s">
        <v>711</v>
      </c>
      <c r="B12" s="1" t="s">
        <v>678</v>
      </c>
      <c r="C12" s="1" t="s">
        <v>712</v>
      </c>
      <c r="D12" s="1" t="s">
        <v>713</v>
      </c>
      <c r="E12" s="1" t="s">
        <v>550</v>
      </c>
      <c r="F12" s="1" t="s">
        <v>550</v>
      </c>
      <c r="G12" s="1" t="s">
        <v>542</v>
      </c>
      <c r="H12" s="1" t="s">
        <v>34</v>
      </c>
      <c r="I12" s="1" t="s">
        <v>714</v>
      </c>
      <c r="J12" s="1" t="s">
        <v>538</v>
      </c>
      <c r="K12" s="1" t="s">
        <v>594</v>
      </c>
      <c r="L12" s="1" t="s">
        <v>36</v>
      </c>
    </row>
    <row r="13" spans="1:12" x14ac:dyDescent="0.3">
      <c r="A13" s="1" t="s">
        <v>715</v>
      </c>
      <c r="B13" s="1" t="s">
        <v>716</v>
      </c>
      <c r="C13" s="1"/>
      <c r="D13" s="1"/>
      <c r="E13" s="1"/>
      <c r="F13" s="1"/>
      <c r="G13" s="1"/>
      <c r="H13" s="1"/>
      <c r="I13" s="1"/>
      <c r="J13" s="1"/>
      <c r="K13" s="1" t="s">
        <v>594</v>
      </c>
      <c r="L13" s="1" t="s">
        <v>262</v>
      </c>
    </row>
    <row r="14" spans="1:12" ht="28.8" x14ac:dyDescent="0.3">
      <c r="A14" s="1" t="s">
        <v>717</v>
      </c>
      <c r="B14" s="1" t="s">
        <v>718</v>
      </c>
      <c r="C14" s="1" t="s">
        <v>719</v>
      </c>
      <c r="D14" s="1" t="s">
        <v>720</v>
      </c>
      <c r="E14" s="1" t="s">
        <v>685</v>
      </c>
      <c r="F14" s="1" t="s">
        <v>550</v>
      </c>
      <c r="G14" s="1" t="s">
        <v>550</v>
      </c>
      <c r="H14" s="1" t="s">
        <v>34</v>
      </c>
      <c r="I14" s="1" t="s">
        <v>721</v>
      </c>
      <c r="J14" s="1" t="s">
        <v>255</v>
      </c>
      <c r="K14" s="1" t="s">
        <v>594</v>
      </c>
      <c r="L14" s="1" t="s">
        <v>36</v>
      </c>
    </row>
  </sheetData>
  <autoFilter ref="A2:L14" xr:uid="{00000000-0009-0000-0000-000007000000}"/>
  <mergeCells count="1">
    <mergeCell ref="A1:L1"/>
  </mergeCells>
  <dataValidations count="3">
    <dataValidation type="list" allowBlank="1" sqref="B2:B500" xr:uid="{00000000-0002-0000-0700-000000000000}">
      <formula1>"Risk,Issue,Assumption,Dependency,Decision"</formula1>
    </dataValidation>
    <dataValidation type="list" allowBlank="1" sqref="K2:K500" xr:uid="{00000000-0002-0000-0700-000001000000}">
      <formula1>"Not Started,Green,Amber,Red,Blocked,Complete"</formula1>
    </dataValidation>
    <dataValidation type="list" allowBlank="1" sqref="L2:L500" xr:uid="{00000000-0002-0000-0700-000002000000}">
      <formula1>"Yes,No"</formula1>
    </dataValidation>
  </dataValidation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B0011"/>
    <pageSetUpPr fitToPage="1"/>
  </sheetPr>
  <dimension ref="A1:L10"/>
  <sheetViews>
    <sheetView showGridLines="0"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1" width="10" customWidth="1"/>
    <col min="2" max="2" width="24" customWidth="1"/>
    <col min="3" max="3" width="55" customWidth="1"/>
    <col min="4" max="4" width="45" customWidth="1"/>
    <col min="5" max="6" width="28" customWidth="1"/>
    <col min="7" max="7" width="15" customWidth="1"/>
    <col min="8" max="8" width="18" customWidth="1"/>
    <col min="9" max="9" width="30" customWidth="1"/>
    <col min="10" max="10" width="15" customWidth="1"/>
    <col min="11" max="11" width="50" customWidth="1"/>
    <col min="12" max="12" width="35" customWidth="1"/>
  </cols>
  <sheetData>
    <row r="1" spans="1:12" ht="25.05" customHeight="1" x14ac:dyDescent="0.3">
      <c r="A1" s="50" t="s">
        <v>722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3">
      <c r="A2" s="7" t="s">
        <v>23</v>
      </c>
      <c r="B2" s="7" t="s">
        <v>723</v>
      </c>
      <c r="C2" s="7" t="s">
        <v>724</v>
      </c>
      <c r="D2" s="7" t="s">
        <v>725</v>
      </c>
      <c r="E2" s="7" t="s">
        <v>26</v>
      </c>
      <c r="F2" s="7" t="s">
        <v>726</v>
      </c>
      <c r="G2" s="7" t="s">
        <v>528</v>
      </c>
      <c r="H2" s="7" t="s">
        <v>727</v>
      </c>
      <c r="I2" s="7" t="s">
        <v>27</v>
      </c>
      <c r="J2" s="7" t="s">
        <v>30</v>
      </c>
      <c r="K2" s="7" t="s">
        <v>728</v>
      </c>
      <c r="L2" s="7" t="s">
        <v>239</v>
      </c>
    </row>
    <row r="3" spans="1:12" ht="28.8" x14ac:dyDescent="0.3">
      <c r="A3" s="1" t="s">
        <v>729</v>
      </c>
      <c r="B3" s="1" t="s">
        <v>730</v>
      </c>
      <c r="C3" s="1" t="s">
        <v>731</v>
      </c>
      <c r="D3" s="1" t="s">
        <v>732</v>
      </c>
      <c r="E3" s="1" t="s">
        <v>34</v>
      </c>
      <c r="F3" s="1" t="s">
        <v>733</v>
      </c>
      <c r="G3" s="1" t="s">
        <v>392</v>
      </c>
      <c r="H3" s="1" t="s">
        <v>442</v>
      </c>
      <c r="I3" s="8" t="s">
        <v>734</v>
      </c>
      <c r="J3" s="1" t="s">
        <v>38</v>
      </c>
      <c r="K3" s="8" t="s">
        <v>735</v>
      </c>
      <c r="L3" s="1"/>
    </row>
    <row r="4" spans="1:12" ht="28.8" x14ac:dyDescent="0.3">
      <c r="A4" s="1" t="s">
        <v>736</v>
      </c>
      <c r="B4" s="1" t="s">
        <v>411</v>
      </c>
      <c r="C4" s="1" t="s">
        <v>737</v>
      </c>
      <c r="D4" s="1" t="s">
        <v>738</v>
      </c>
      <c r="E4" s="1" t="s">
        <v>414</v>
      </c>
      <c r="F4" s="1" t="s">
        <v>739</v>
      </c>
      <c r="G4" s="1" t="s">
        <v>392</v>
      </c>
      <c r="H4" s="1" t="s">
        <v>400</v>
      </c>
      <c r="I4" s="8" t="s">
        <v>740</v>
      </c>
      <c r="J4" s="1" t="s">
        <v>38</v>
      </c>
      <c r="K4" s="8" t="s">
        <v>741</v>
      </c>
      <c r="L4" s="1"/>
    </row>
    <row r="5" spans="1:12" x14ac:dyDescent="0.3">
      <c r="A5" s="1" t="s">
        <v>742</v>
      </c>
      <c r="B5" s="1" t="s">
        <v>743</v>
      </c>
      <c r="C5" s="1" t="s">
        <v>744</v>
      </c>
      <c r="D5" s="1" t="s">
        <v>745</v>
      </c>
      <c r="E5" s="1" t="s">
        <v>34</v>
      </c>
      <c r="F5" s="1" t="s">
        <v>743</v>
      </c>
      <c r="G5" s="1" t="s">
        <v>442</v>
      </c>
      <c r="H5" s="1" t="s">
        <v>407</v>
      </c>
      <c r="I5" s="8" t="s">
        <v>746</v>
      </c>
      <c r="J5" s="1" t="s">
        <v>38</v>
      </c>
      <c r="K5" s="8" t="s">
        <v>747</v>
      </c>
      <c r="L5" s="1"/>
    </row>
    <row r="6" spans="1:12" x14ac:dyDescent="0.3">
      <c r="A6" s="1" t="s">
        <v>748</v>
      </c>
      <c r="B6" s="1" t="s">
        <v>749</v>
      </c>
      <c r="C6" s="1" t="s">
        <v>750</v>
      </c>
      <c r="D6" s="1" t="s">
        <v>751</v>
      </c>
      <c r="E6" s="1" t="s">
        <v>34</v>
      </c>
      <c r="F6" s="1" t="s">
        <v>752</v>
      </c>
      <c r="G6" s="1" t="s">
        <v>442</v>
      </c>
      <c r="H6" s="1" t="s">
        <v>407</v>
      </c>
      <c r="I6" s="8" t="s">
        <v>753</v>
      </c>
      <c r="J6" s="1" t="s">
        <v>38</v>
      </c>
      <c r="K6" s="8" t="s">
        <v>754</v>
      </c>
      <c r="L6" s="1"/>
    </row>
    <row r="7" spans="1:12" x14ac:dyDescent="0.3">
      <c r="A7" s="1" t="s">
        <v>755</v>
      </c>
      <c r="B7" s="1" t="s">
        <v>756</v>
      </c>
      <c r="C7" s="1" t="s">
        <v>757</v>
      </c>
      <c r="D7" s="1" t="s">
        <v>758</v>
      </c>
      <c r="E7" s="1" t="s">
        <v>759</v>
      </c>
      <c r="F7" s="1" t="s">
        <v>756</v>
      </c>
      <c r="G7" s="1" t="s">
        <v>442</v>
      </c>
      <c r="H7" s="1" t="s">
        <v>461</v>
      </c>
      <c r="I7" s="8" t="s">
        <v>760</v>
      </c>
      <c r="J7" s="1" t="s">
        <v>38</v>
      </c>
      <c r="K7" s="8" t="s">
        <v>761</v>
      </c>
      <c r="L7" s="1"/>
    </row>
    <row r="8" spans="1:12" ht="28.8" x14ac:dyDescent="0.3">
      <c r="A8" s="1" t="s">
        <v>762</v>
      </c>
      <c r="B8" s="1" t="s">
        <v>763</v>
      </c>
      <c r="C8" s="1" t="s">
        <v>764</v>
      </c>
      <c r="D8" s="1" t="s">
        <v>765</v>
      </c>
      <c r="E8" s="1" t="s">
        <v>34</v>
      </c>
      <c r="F8" s="1" t="s">
        <v>766</v>
      </c>
      <c r="G8" s="1" t="s">
        <v>442</v>
      </c>
      <c r="H8" s="1" t="s">
        <v>461</v>
      </c>
      <c r="I8" s="8" t="s">
        <v>767</v>
      </c>
      <c r="J8" s="1" t="s">
        <v>38</v>
      </c>
      <c r="K8" s="8" t="s">
        <v>768</v>
      </c>
      <c r="L8" s="1"/>
    </row>
    <row r="9" spans="1:12" ht="28.8" x14ac:dyDescent="0.3">
      <c r="A9" s="1" t="s">
        <v>769</v>
      </c>
      <c r="B9" s="1" t="s">
        <v>763</v>
      </c>
      <c r="C9" s="1" t="s">
        <v>770</v>
      </c>
      <c r="D9" s="1" t="s">
        <v>771</v>
      </c>
      <c r="E9" s="1" t="s">
        <v>34</v>
      </c>
      <c r="F9" s="1" t="s">
        <v>656</v>
      </c>
      <c r="G9" s="1" t="s">
        <v>434</v>
      </c>
      <c r="H9" s="1" t="s">
        <v>427</v>
      </c>
      <c r="I9" s="8" t="s">
        <v>762</v>
      </c>
      <c r="J9" s="1" t="s">
        <v>38</v>
      </c>
      <c r="K9" s="8" t="s">
        <v>772</v>
      </c>
      <c r="L9" s="1"/>
    </row>
    <row r="10" spans="1:12" x14ac:dyDescent="0.3">
      <c r="A10" s="1" t="s">
        <v>773</v>
      </c>
      <c r="B10" s="1" t="s">
        <v>774</v>
      </c>
      <c r="C10" s="1" t="s">
        <v>775</v>
      </c>
      <c r="D10" s="1" t="s">
        <v>776</v>
      </c>
      <c r="E10" s="1" t="s">
        <v>441</v>
      </c>
      <c r="F10" s="1" t="s">
        <v>777</v>
      </c>
      <c r="G10" s="1" t="s">
        <v>442</v>
      </c>
      <c r="H10" s="1" t="s">
        <v>427</v>
      </c>
      <c r="I10" s="8" t="s">
        <v>778</v>
      </c>
      <c r="J10" s="1" t="s">
        <v>38</v>
      </c>
      <c r="K10" s="8" t="s">
        <v>779</v>
      </c>
      <c r="L10" s="1"/>
    </row>
  </sheetData>
  <autoFilter ref="A2:L10" xr:uid="{00000000-0009-0000-0000-000008000000}"/>
  <mergeCells count="1">
    <mergeCell ref="A1:L1"/>
  </mergeCells>
  <conditionalFormatting sqref="J3:J500">
    <cfRule type="expression" dxfId="5" priority="1">
      <formula>J3="Green"</formula>
    </cfRule>
    <cfRule type="expression" dxfId="4" priority="2">
      <formula>J3="Amber"</formula>
    </cfRule>
    <cfRule type="expression" dxfId="3" priority="3">
      <formula>J3="Red"</formula>
    </cfRule>
  </conditionalFormatting>
  <dataValidations count="1">
    <dataValidation type="list" allowBlank="1" sqref="J2:J500" xr:uid="{00000000-0002-0000-0800-000000000000}">
      <formula1>"Not Started,Green,Amber,Red,Blocked,Complete"</formula1>
    </dataValidation>
  </dataValidation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B0011"/>
    <pageSetUpPr fitToPage="1"/>
  </sheetPr>
  <dimension ref="A1:J8"/>
  <sheetViews>
    <sheetView showGridLines="0" workbookViewId="0">
      <pane ySplit="2" topLeftCell="A3" activePane="bottomLeft" state="frozen"/>
      <selection pane="bottomLeft" sqref="A1:J1"/>
    </sheetView>
  </sheetViews>
  <sheetFormatPr defaultRowHeight="14.4" x14ac:dyDescent="0.3"/>
  <cols>
    <col min="1" max="1" width="28" customWidth="1"/>
    <col min="2" max="2" width="30" customWidth="1"/>
    <col min="3" max="4" width="55" customWidth="1"/>
    <col min="5" max="6" width="15" customWidth="1"/>
    <col min="7" max="7" width="35" customWidth="1"/>
    <col min="8" max="8" width="55" customWidth="1"/>
    <col min="9" max="9" width="15" customWidth="1"/>
    <col min="10" max="10" width="45" customWidth="1"/>
  </cols>
  <sheetData>
    <row r="1" spans="1:10" ht="25.05" customHeight="1" x14ac:dyDescent="0.3">
      <c r="A1" s="50" t="s">
        <v>780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">
      <c r="A2" s="7" t="s">
        <v>781</v>
      </c>
      <c r="B2" s="7" t="s">
        <v>499</v>
      </c>
      <c r="C2" s="7" t="s">
        <v>782</v>
      </c>
      <c r="D2" s="7" t="s">
        <v>783</v>
      </c>
      <c r="E2" s="7" t="s">
        <v>528</v>
      </c>
      <c r="F2" s="7" t="s">
        <v>784</v>
      </c>
      <c r="G2" s="7" t="s">
        <v>27</v>
      </c>
      <c r="H2" s="7" t="s">
        <v>29</v>
      </c>
      <c r="I2" s="7" t="s">
        <v>30</v>
      </c>
      <c r="J2" s="7" t="s">
        <v>785</v>
      </c>
    </row>
    <row r="3" spans="1:10" x14ac:dyDescent="0.3">
      <c r="A3" s="1" t="s">
        <v>786</v>
      </c>
      <c r="B3" s="1" t="s">
        <v>414</v>
      </c>
      <c r="C3" s="1" t="s">
        <v>787</v>
      </c>
      <c r="D3" s="1" t="s">
        <v>788</v>
      </c>
      <c r="E3" s="1" t="s">
        <v>392</v>
      </c>
      <c r="F3" s="1" t="s">
        <v>415</v>
      </c>
      <c r="G3" s="1" t="s">
        <v>789</v>
      </c>
      <c r="H3" s="1" t="s">
        <v>790</v>
      </c>
      <c r="I3" s="1" t="s">
        <v>38</v>
      </c>
      <c r="J3" s="1" t="s">
        <v>791</v>
      </c>
    </row>
    <row r="4" spans="1:10" x14ac:dyDescent="0.3">
      <c r="A4" s="1" t="s">
        <v>420</v>
      </c>
      <c r="B4" s="1" t="s">
        <v>414</v>
      </c>
      <c r="C4" s="1" t="s">
        <v>792</v>
      </c>
      <c r="D4" s="1" t="s">
        <v>793</v>
      </c>
      <c r="E4" s="1" t="s">
        <v>421</v>
      </c>
      <c r="F4" s="1" t="s">
        <v>400</v>
      </c>
      <c r="G4" s="1" t="s">
        <v>786</v>
      </c>
      <c r="H4" s="1" t="s">
        <v>794</v>
      </c>
      <c r="I4" s="1" t="s">
        <v>38</v>
      </c>
      <c r="J4" s="1" t="s">
        <v>795</v>
      </c>
    </row>
    <row r="5" spans="1:10" ht="28.8" x14ac:dyDescent="0.3">
      <c r="A5" s="1" t="s">
        <v>796</v>
      </c>
      <c r="B5" s="1" t="s">
        <v>426</v>
      </c>
      <c r="C5" s="1" t="s">
        <v>797</v>
      </c>
      <c r="D5" s="1" t="s">
        <v>798</v>
      </c>
      <c r="E5" s="1" t="s">
        <v>421</v>
      </c>
      <c r="F5" s="1" t="s">
        <v>427</v>
      </c>
      <c r="G5" s="1" t="s">
        <v>799</v>
      </c>
      <c r="H5" s="1" t="s">
        <v>800</v>
      </c>
      <c r="I5" s="1" t="s">
        <v>38</v>
      </c>
      <c r="J5" s="1" t="s">
        <v>801</v>
      </c>
    </row>
    <row r="6" spans="1:10" x14ac:dyDescent="0.3">
      <c r="A6" s="1" t="s">
        <v>802</v>
      </c>
      <c r="B6" s="1" t="s">
        <v>561</v>
      </c>
      <c r="C6" s="1" t="s">
        <v>803</v>
      </c>
      <c r="D6" s="1" t="s">
        <v>804</v>
      </c>
      <c r="E6" s="1" t="s">
        <v>434</v>
      </c>
      <c r="F6" s="1" t="s">
        <v>427</v>
      </c>
      <c r="G6" s="1" t="s">
        <v>805</v>
      </c>
      <c r="H6" s="1" t="s">
        <v>806</v>
      </c>
      <c r="I6" s="1" t="s">
        <v>38</v>
      </c>
      <c r="J6" s="1" t="s">
        <v>807</v>
      </c>
    </row>
    <row r="7" spans="1:10" ht="28.8" x14ac:dyDescent="0.3">
      <c r="A7" s="1" t="s">
        <v>472</v>
      </c>
      <c r="B7" s="1" t="s">
        <v>426</v>
      </c>
      <c r="C7" s="1" t="s">
        <v>808</v>
      </c>
      <c r="D7" s="1" t="s">
        <v>809</v>
      </c>
      <c r="E7" s="1" t="s">
        <v>476</v>
      </c>
      <c r="F7" s="1" t="s">
        <v>488</v>
      </c>
      <c r="G7" s="1" t="s">
        <v>90</v>
      </c>
      <c r="H7" s="1" t="s">
        <v>810</v>
      </c>
      <c r="I7" s="1" t="s">
        <v>38</v>
      </c>
      <c r="J7" s="1" t="s">
        <v>811</v>
      </c>
    </row>
    <row r="8" spans="1:10" ht="28.8" x14ac:dyDescent="0.3">
      <c r="A8" s="1" t="s">
        <v>812</v>
      </c>
      <c r="B8" s="1" t="s">
        <v>54</v>
      </c>
      <c r="C8" s="1" t="s">
        <v>813</v>
      </c>
      <c r="D8" s="1" t="s">
        <v>814</v>
      </c>
      <c r="E8" s="1" t="s">
        <v>487</v>
      </c>
      <c r="F8" s="1" t="s">
        <v>494</v>
      </c>
      <c r="G8" s="1" t="s">
        <v>815</v>
      </c>
      <c r="H8" s="1" t="s">
        <v>816</v>
      </c>
      <c r="I8" s="1" t="s">
        <v>38</v>
      </c>
      <c r="J8" s="1" t="s">
        <v>817</v>
      </c>
    </row>
  </sheetData>
  <autoFilter ref="A2:J8" xr:uid="{00000000-0009-0000-0000-000009000000}"/>
  <mergeCells count="1">
    <mergeCell ref="A1:J1"/>
  </mergeCells>
  <conditionalFormatting sqref="I3:I500">
    <cfRule type="expression" dxfId="2" priority="1">
      <formula>I3="Green"</formula>
    </cfRule>
    <cfRule type="expression" dxfId="1" priority="2">
      <formula>I3="Amber"</formula>
    </cfRule>
    <cfRule type="expression" dxfId="0" priority="3">
      <formula>I3="Red"</formula>
    </cfRule>
  </conditionalFormatting>
  <dataValidations count="1">
    <dataValidation type="list" allowBlank="1" sqref="I2:I500" xr:uid="{00000000-0002-0000-0900-000000000000}">
      <formula1>"Not Started,Green,Amber,Red,Blocked,Complete"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B0011"/>
    <pageSetUpPr fitToPage="1"/>
  </sheetPr>
  <dimension ref="A1:G12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0" customWidth="1"/>
    <col min="2" max="3" width="20" customWidth="1"/>
    <col min="4" max="4" width="65" customWidth="1"/>
    <col min="5" max="5" width="30" customWidth="1"/>
    <col min="6" max="6" width="15" customWidth="1"/>
    <col min="7" max="7" width="45" customWidth="1"/>
  </cols>
  <sheetData>
    <row r="1" spans="1:7" ht="25.05" customHeight="1" x14ac:dyDescent="0.3">
      <c r="A1" s="50" t="s">
        <v>818</v>
      </c>
      <c r="B1" s="29"/>
      <c r="C1" s="29"/>
      <c r="D1" s="29"/>
      <c r="E1" s="29"/>
      <c r="F1" s="29"/>
      <c r="G1" s="29"/>
    </row>
    <row r="2" spans="1:7" x14ac:dyDescent="0.3">
      <c r="A2" s="7" t="s">
        <v>781</v>
      </c>
      <c r="B2" s="7" t="s">
        <v>669</v>
      </c>
      <c r="C2" s="7" t="s">
        <v>819</v>
      </c>
      <c r="D2" s="7" t="s">
        <v>820</v>
      </c>
      <c r="E2" s="7" t="s">
        <v>499</v>
      </c>
      <c r="F2" s="7" t="s">
        <v>30</v>
      </c>
      <c r="G2" s="7" t="s">
        <v>821</v>
      </c>
    </row>
    <row r="3" spans="1:7" x14ac:dyDescent="0.3">
      <c r="A3" s="1" t="s">
        <v>822</v>
      </c>
      <c r="B3" s="1" t="s">
        <v>823</v>
      </c>
      <c r="C3" s="1" t="s">
        <v>538</v>
      </c>
      <c r="D3" s="1" t="s">
        <v>824</v>
      </c>
      <c r="E3" s="1" t="s">
        <v>34</v>
      </c>
      <c r="F3" s="1" t="s">
        <v>825</v>
      </c>
      <c r="G3" s="1" t="s">
        <v>823</v>
      </c>
    </row>
    <row r="4" spans="1:7" x14ac:dyDescent="0.3">
      <c r="A4" s="1" t="s">
        <v>826</v>
      </c>
      <c r="B4" s="1" t="s">
        <v>827</v>
      </c>
      <c r="C4" s="1" t="s">
        <v>94</v>
      </c>
      <c r="D4" s="1" t="s">
        <v>828</v>
      </c>
      <c r="E4" s="1" t="s">
        <v>34</v>
      </c>
      <c r="F4" s="1" t="s">
        <v>594</v>
      </c>
      <c r="G4" s="1" t="s">
        <v>829</v>
      </c>
    </row>
    <row r="5" spans="1:7" ht="28.8" x14ac:dyDescent="0.3">
      <c r="A5" s="1" t="s">
        <v>830</v>
      </c>
      <c r="B5" s="1" t="s">
        <v>831</v>
      </c>
      <c r="C5" s="1" t="s">
        <v>832</v>
      </c>
      <c r="D5" s="1" t="s">
        <v>833</v>
      </c>
      <c r="E5" s="1" t="s">
        <v>34</v>
      </c>
      <c r="F5" s="1" t="s">
        <v>501</v>
      </c>
      <c r="G5" s="1" t="s">
        <v>834</v>
      </c>
    </row>
    <row r="6" spans="1:7" x14ac:dyDescent="0.3">
      <c r="A6" s="1" t="s">
        <v>835</v>
      </c>
      <c r="B6" s="1" t="s">
        <v>831</v>
      </c>
      <c r="C6" s="1" t="s">
        <v>94</v>
      </c>
      <c r="D6" s="1" t="s">
        <v>836</v>
      </c>
      <c r="E6" s="1" t="s">
        <v>34</v>
      </c>
      <c r="F6" s="1" t="s">
        <v>501</v>
      </c>
      <c r="G6" s="1" t="s">
        <v>837</v>
      </c>
    </row>
    <row r="7" spans="1:7" x14ac:dyDescent="0.3">
      <c r="A7" s="1" t="s">
        <v>838</v>
      </c>
      <c r="B7" s="1" t="s">
        <v>27</v>
      </c>
      <c r="C7" s="1" t="s">
        <v>59</v>
      </c>
      <c r="D7" s="1" t="s">
        <v>839</v>
      </c>
      <c r="E7" s="1" t="s">
        <v>34</v>
      </c>
      <c r="F7" s="1" t="s">
        <v>594</v>
      </c>
      <c r="G7" s="1" t="s">
        <v>840</v>
      </c>
    </row>
    <row r="8" spans="1:7" x14ac:dyDescent="0.3">
      <c r="A8" s="1" t="s">
        <v>789</v>
      </c>
      <c r="B8" s="1" t="s">
        <v>27</v>
      </c>
      <c r="C8" s="1" t="s">
        <v>77</v>
      </c>
      <c r="D8" s="1" t="s">
        <v>841</v>
      </c>
      <c r="E8" s="1" t="s">
        <v>34</v>
      </c>
      <c r="F8" s="1" t="s">
        <v>594</v>
      </c>
      <c r="G8" s="1" t="s">
        <v>842</v>
      </c>
    </row>
    <row r="9" spans="1:7" x14ac:dyDescent="0.3">
      <c r="A9" s="1" t="s">
        <v>843</v>
      </c>
      <c r="B9" s="1" t="s">
        <v>27</v>
      </c>
      <c r="C9" s="1" t="s">
        <v>844</v>
      </c>
      <c r="D9" s="1" t="s">
        <v>845</v>
      </c>
      <c r="E9" s="1" t="s">
        <v>642</v>
      </c>
      <c r="F9" s="1" t="s">
        <v>594</v>
      </c>
      <c r="G9" s="1" t="s">
        <v>846</v>
      </c>
    </row>
    <row r="10" spans="1:7" x14ac:dyDescent="0.3">
      <c r="A10" s="1" t="s">
        <v>847</v>
      </c>
      <c r="B10" s="1" t="s">
        <v>848</v>
      </c>
      <c r="C10" s="1" t="s">
        <v>94</v>
      </c>
      <c r="D10" s="1" t="s">
        <v>849</v>
      </c>
      <c r="E10" s="1" t="s">
        <v>662</v>
      </c>
      <c r="F10" s="1" t="s">
        <v>825</v>
      </c>
      <c r="G10" s="1" t="s">
        <v>850</v>
      </c>
    </row>
    <row r="11" spans="1:7" x14ac:dyDescent="0.3">
      <c r="A11" s="1" t="s">
        <v>851</v>
      </c>
      <c r="B11" s="1" t="s">
        <v>852</v>
      </c>
      <c r="C11" s="1" t="s">
        <v>538</v>
      </c>
      <c r="D11" s="1" t="s">
        <v>853</v>
      </c>
      <c r="E11" s="1" t="s">
        <v>854</v>
      </c>
      <c r="F11" s="1" t="s">
        <v>594</v>
      </c>
      <c r="G11" s="1" t="s">
        <v>855</v>
      </c>
    </row>
    <row r="12" spans="1:7" x14ac:dyDescent="0.3">
      <c r="A12" s="1" t="s">
        <v>856</v>
      </c>
      <c r="B12" s="1" t="s">
        <v>852</v>
      </c>
      <c r="C12" s="1" t="s">
        <v>857</v>
      </c>
      <c r="D12" s="1" t="s">
        <v>858</v>
      </c>
      <c r="E12" s="1" t="s">
        <v>854</v>
      </c>
      <c r="F12" s="1" t="s">
        <v>594</v>
      </c>
      <c r="G12" s="1" t="s">
        <v>859</v>
      </c>
    </row>
  </sheetData>
  <autoFilter ref="A2:G12" xr:uid="{00000000-0009-0000-0000-00000A000000}"/>
  <mergeCells count="1">
    <mergeCell ref="A1:G1"/>
  </mergeCell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B0011"/>
    <pageSetUpPr fitToPage="1"/>
  </sheetPr>
  <dimension ref="A1:I16"/>
  <sheetViews>
    <sheetView showGridLines="0"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35" customWidth="1"/>
    <col min="2" max="2" width="18" customWidth="1"/>
    <col min="3" max="3" width="28" customWidth="1"/>
    <col min="4" max="4" width="30" customWidth="1"/>
    <col min="5" max="5" width="28" customWidth="1"/>
    <col min="6" max="9" width="20" customWidth="1"/>
  </cols>
  <sheetData>
    <row r="1" spans="1:9" ht="25.05" customHeight="1" x14ac:dyDescent="0.3">
      <c r="A1" s="50" t="s">
        <v>860</v>
      </c>
      <c r="B1" s="29"/>
      <c r="C1" s="29"/>
      <c r="D1" s="29"/>
      <c r="E1" s="29"/>
      <c r="F1" s="29"/>
      <c r="G1" s="29"/>
      <c r="H1" s="29"/>
      <c r="I1" s="29"/>
    </row>
    <row r="2" spans="1:9" ht="28.8" x14ac:dyDescent="0.3">
      <c r="A2" s="7" t="s">
        <v>861</v>
      </c>
      <c r="B2" s="7" t="s">
        <v>34</v>
      </c>
      <c r="C2" s="7" t="s">
        <v>48</v>
      </c>
      <c r="D2" s="7" t="s">
        <v>548</v>
      </c>
      <c r="E2" s="7" t="s">
        <v>862</v>
      </c>
      <c r="F2" s="7" t="s">
        <v>561</v>
      </c>
      <c r="G2" s="7" t="s">
        <v>426</v>
      </c>
      <c r="H2" s="7" t="s">
        <v>863</v>
      </c>
      <c r="I2" s="7" t="s">
        <v>656</v>
      </c>
    </row>
    <row r="3" spans="1:9" x14ac:dyDescent="0.3">
      <c r="A3" s="1" t="s">
        <v>864</v>
      </c>
      <c r="B3" s="1" t="s">
        <v>865</v>
      </c>
      <c r="C3" s="1" t="s">
        <v>866</v>
      </c>
      <c r="D3" s="1" t="s">
        <v>866</v>
      </c>
      <c r="E3" s="1" t="s">
        <v>866</v>
      </c>
      <c r="F3" s="1" t="s">
        <v>867</v>
      </c>
      <c r="G3" s="1" t="s">
        <v>866</v>
      </c>
      <c r="H3" s="1" t="s">
        <v>866</v>
      </c>
      <c r="I3" s="1" t="s">
        <v>867</v>
      </c>
    </row>
    <row r="4" spans="1:9" x14ac:dyDescent="0.3">
      <c r="A4" s="1" t="s">
        <v>868</v>
      </c>
      <c r="B4" s="1" t="s">
        <v>865</v>
      </c>
      <c r="C4" s="1" t="s">
        <v>866</v>
      </c>
      <c r="D4" s="1" t="s">
        <v>866</v>
      </c>
      <c r="E4" s="1" t="s">
        <v>867</v>
      </c>
      <c r="F4" s="1" t="s">
        <v>867</v>
      </c>
      <c r="G4" s="1" t="s">
        <v>867</v>
      </c>
      <c r="H4" s="1" t="s">
        <v>866</v>
      </c>
      <c r="I4" s="1" t="s">
        <v>866</v>
      </c>
    </row>
    <row r="5" spans="1:9" x14ac:dyDescent="0.3">
      <c r="A5" s="1" t="s">
        <v>869</v>
      </c>
      <c r="B5" s="1" t="s">
        <v>870</v>
      </c>
      <c r="C5" s="1" t="s">
        <v>871</v>
      </c>
      <c r="D5" s="1" t="s">
        <v>871</v>
      </c>
      <c r="E5" s="1" t="s">
        <v>866</v>
      </c>
      <c r="F5" s="1" t="s">
        <v>867</v>
      </c>
      <c r="G5" s="1" t="s">
        <v>866</v>
      </c>
      <c r="H5" s="1" t="s">
        <v>866</v>
      </c>
      <c r="I5" s="1" t="s">
        <v>867</v>
      </c>
    </row>
    <row r="6" spans="1:9" x14ac:dyDescent="0.3">
      <c r="A6" s="1" t="s">
        <v>872</v>
      </c>
      <c r="B6" s="1" t="s">
        <v>870</v>
      </c>
      <c r="C6" s="1" t="s">
        <v>871</v>
      </c>
      <c r="D6" s="1" t="s">
        <v>866</v>
      </c>
      <c r="E6" s="1" t="s">
        <v>871</v>
      </c>
      <c r="F6" s="1" t="s">
        <v>867</v>
      </c>
      <c r="G6" s="1" t="s">
        <v>866</v>
      </c>
      <c r="H6" s="1" t="s">
        <v>866</v>
      </c>
      <c r="I6" s="1" t="s">
        <v>867</v>
      </c>
    </row>
    <row r="7" spans="1:9" x14ac:dyDescent="0.3">
      <c r="A7" s="1" t="s">
        <v>873</v>
      </c>
      <c r="B7" s="1" t="s">
        <v>870</v>
      </c>
      <c r="C7" s="1" t="s">
        <v>871</v>
      </c>
      <c r="D7" s="1" t="s">
        <v>866</v>
      </c>
      <c r="E7" s="1" t="s">
        <v>871</v>
      </c>
      <c r="F7" s="1" t="s">
        <v>867</v>
      </c>
      <c r="G7" s="1" t="s">
        <v>866</v>
      </c>
      <c r="H7" s="1" t="s">
        <v>866</v>
      </c>
      <c r="I7" s="1" t="s">
        <v>867</v>
      </c>
    </row>
    <row r="8" spans="1:9" x14ac:dyDescent="0.3">
      <c r="A8" s="1" t="s">
        <v>874</v>
      </c>
      <c r="B8" s="1" t="s">
        <v>865</v>
      </c>
      <c r="C8" s="1" t="s">
        <v>871</v>
      </c>
      <c r="D8" s="1" t="s">
        <v>866</v>
      </c>
      <c r="E8" s="1" t="s">
        <v>871</v>
      </c>
      <c r="F8" s="1" t="s">
        <v>867</v>
      </c>
      <c r="G8" s="1" t="s">
        <v>867</v>
      </c>
      <c r="H8" s="1" t="s">
        <v>866</v>
      </c>
      <c r="I8" s="1" t="s">
        <v>866</v>
      </c>
    </row>
    <row r="9" spans="1:9" x14ac:dyDescent="0.3">
      <c r="A9" s="1" t="s">
        <v>377</v>
      </c>
      <c r="B9" s="1" t="s">
        <v>865</v>
      </c>
      <c r="C9" s="1" t="s">
        <v>866</v>
      </c>
      <c r="D9" s="1" t="s">
        <v>866</v>
      </c>
      <c r="E9" s="1" t="s">
        <v>866</v>
      </c>
      <c r="F9" s="1" t="s">
        <v>867</v>
      </c>
      <c r="G9" s="1" t="s">
        <v>867</v>
      </c>
      <c r="H9" s="1" t="s">
        <v>871</v>
      </c>
      <c r="I9" s="1" t="s">
        <v>866</v>
      </c>
    </row>
    <row r="10" spans="1:9" x14ac:dyDescent="0.3">
      <c r="A10" s="1" t="s">
        <v>875</v>
      </c>
      <c r="B10" s="1" t="s">
        <v>870</v>
      </c>
      <c r="C10" s="1" t="s">
        <v>871</v>
      </c>
      <c r="D10" s="1" t="s">
        <v>871</v>
      </c>
      <c r="E10" s="1" t="s">
        <v>866</v>
      </c>
      <c r="F10" s="1" t="s">
        <v>867</v>
      </c>
      <c r="G10" s="1" t="s">
        <v>866</v>
      </c>
      <c r="H10" s="1" t="s">
        <v>867</v>
      </c>
      <c r="I10" s="1" t="s">
        <v>867</v>
      </c>
    </row>
    <row r="11" spans="1:9" x14ac:dyDescent="0.3">
      <c r="A11" s="1" t="s">
        <v>876</v>
      </c>
      <c r="B11" s="1" t="s">
        <v>870</v>
      </c>
      <c r="C11" s="1" t="s">
        <v>866</v>
      </c>
      <c r="D11" s="1" t="s">
        <v>866</v>
      </c>
      <c r="E11" s="1" t="s">
        <v>866</v>
      </c>
      <c r="F11" s="1" t="s">
        <v>871</v>
      </c>
      <c r="G11" s="1" t="s">
        <v>866</v>
      </c>
      <c r="H11" s="1" t="s">
        <v>867</v>
      </c>
      <c r="I11" s="1" t="s">
        <v>867</v>
      </c>
    </row>
    <row r="12" spans="1:9" x14ac:dyDescent="0.3">
      <c r="A12" s="1" t="s">
        <v>796</v>
      </c>
      <c r="B12" s="1" t="s">
        <v>866</v>
      </c>
      <c r="C12" s="1" t="s">
        <v>866</v>
      </c>
      <c r="D12" s="1" t="s">
        <v>866</v>
      </c>
      <c r="E12" s="1" t="s">
        <v>866</v>
      </c>
      <c r="F12" s="1" t="s">
        <v>871</v>
      </c>
      <c r="G12" s="1" t="s">
        <v>865</v>
      </c>
      <c r="H12" s="1" t="s">
        <v>867</v>
      </c>
      <c r="I12" s="1" t="s">
        <v>867</v>
      </c>
    </row>
    <row r="13" spans="1:9" x14ac:dyDescent="0.3">
      <c r="A13" s="1" t="s">
        <v>877</v>
      </c>
      <c r="B13" s="1" t="s">
        <v>865</v>
      </c>
      <c r="C13" s="1" t="s">
        <v>866</v>
      </c>
      <c r="D13" s="1" t="s">
        <v>866</v>
      </c>
      <c r="E13" s="1" t="s">
        <v>866</v>
      </c>
      <c r="F13" s="1" t="s">
        <v>866</v>
      </c>
      <c r="G13" s="1" t="s">
        <v>866</v>
      </c>
      <c r="H13" s="1" t="s">
        <v>866</v>
      </c>
      <c r="I13" s="1" t="s">
        <v>866</v>
      </c>
    </row>
    <row r="14" spans="1:9" x14ac:dyDescent="0.3">
      <c r="A14" s="1" t="s">
        <v>878</v>
      </c>
      <c r="B14" s="1" t="s">
        <v>865</v>
      </c>
      <c r="C14" s="1" t="s">
        <v>866</v>
      </c>
      <c r="D14" s="1" t="s">
        <v>866</v>
      </c>
      <c r="E14" s="1" t="s">
        <v>866</v>
      </c>
      <c r="F14" s="1" t="s">
        <v>867</v>
      </c>
      <c r="G14" s="1" t="s">
        <v>867</v>
      </c>
      <c r="H14" s="1" t="s">
        <v>867</v>
      </c>
      <c r="I14" s="1" t="s">
        <v>871</v>
      </c>
    </row>
    <row r="15" spans="1:9" x14ac:dyDescent="0.3">
      <c r="A15" s="1" t="s">
        <v>879</v>
      </c>
      <c r="B15" s="1" t="s">
        <v>866</v>
      </c>
      <c r="C15" s="1" t="s">
        <v>866</v>
      </c>
      <c r="D15" s="1" t="s">
        <v>867</v>
      </c>
      <c r="E15" s="1" t="s">
        <v>867</v>
      </c>
      <c r="F15" s="1" t="s">
        <v>867</v>
      </c>
      <c r="G15" s="1" t="s">
        <v>865</v>
      </c>
      <c r="H15" s="1" t="s">
        <v>867</v>
      </c>
      <c r="I15" s="1" t="s">
        <v>867</v>
      </c>
    </row>
    <row r="16" spans="1:9" x14ac:dyDescent="0.3">
      <c r="A16" s="1" t="s">
        <v>812</v>
      </c>
      <c r="B16" s="1" t="s">
        <v>865</v>
      </c>
      <c r="C16" s="1" t="s">
        <v>871</v>
      </c>
      <c r="D16" s="1" t="s">
        <v>866</v>
      </c>
      <c r="E16" s="1" t="s">
        <v>866</v>
      </c>
      <c r="F16" s="1" t="s">
        <v>866</v>
      </c>
      <c r="G16" s="1" t="s">
        <v>871</v>
      </c>
      <c r="H16" s="1" t="s">
        <v>866</v>
      </c>
      <c r="I16" s="1" t="s">
        <v>867</v>
      </c>
    </row>
  </sheetData>
  <autoFilter ref="A2:I16" xr:uid="{00000000-0009-0000-0000-00000B000000}"/>
  <mergeCells count="1">
    <mergeCell ref="A1:I1"/>
  </mergeCells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B0011"/>
    <pageSetUpPr fitToPage="1"/>
  </sheetPr>
  <dimension ref="A1:H13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10" customWidth="1"/>
    <col min="2" max="2" width="30" customWidth="1"/>
    <col min="3" max="3" width="18" customWidth="1"/>
    <col min="4" max="4" width="24" customWidth="1"/>
    <col min="5" max="5" width="28" customWidth="1"/>
    <col min="6" max="7" width="45" customWidth="1"/>
    <col min="8" max="8" width="55" customWidth="1"/>
  </cols>
  <sheetData>
    <row r="1" spans="1:8" ht="25.05" customHeight="1" x14ac:dyDescent="0.3">
      <c r="A1" s="50" t="s">
        <v>880</v>
      </c>
      <c r="B1" s="29"/>
      <c r="C1" s="29"/>
      <c r="D1" s="29"/>
      <c r="E1" s="29"/>
      <c r="F1" s="29"/>
      <c r="G1" s="29"/>
      <c r="H1" s="29"/>
    </row>
    <row r="2" spans="1:8" x14ac:dyDescent="0.3">
      <c r="A2" s="7" t="s">
        <v>881</v>
      </c>
      <c r="B2" s="7" t="s">
        <v>882</v>
      </c>
      <c r="C2" s="7" t="s">
        <v>883</v>
      </c>
      <c r="D2" s="7" t="s">
        <v>884</v>
      </c>
      <c r="E2" s="7" t="s">
        <v>885</v>
      </c>
      <c r="F2" s="7" t="s">
        <v>886</v>
      </c>
      <c r="G2" s="7" t="s">
        <v>887</v>
      </c>
      <c r="H2" s="7" t="s">
        <v>888</v>
      </c>
    </row>
    <row r="3" spans="1:8" x14ac:dyDescent="0.3">
      <c r="A3" s="1">
        <v>1</v>
      </c>
      <c r="B3" s="1" t="s">
        <v>889</v>
      </c>
      <c r="C3" s="1" t="s">
        <v>255</v>
      </c>
      <c r="D3" s="1" t="s">
        <v>39</v>
      </c>
      <c r="E3" s="1" t="s">
        <v>34</v>
      </c>
      <c r="F3" s="1" t="s">
        <v>890</v>
      </c>
      <c r="G3" s="1" t="s">
        <v>891</v>
      </c>
      <c r="H3" s="1" t="s">
        <v>892</v>
      </c>
    </row>
    <row r="4" spans="1:8" ht="28.8" x14ac:dyDescent="0.3">
      <c r="A4" s="1">
        <v>2</v>
      </c>
      <c r="B4" s="1" t="s">
        <v>893</v>
      </c>
      <c r="C4" s="1" t="s">
        <v>290</v>
      </c>
      <c r="D4" s="1" t="s">
        <v>894</v>
      </c>
      <c r="E4" s="1" t="s">
        <v>42</v>
      </c>
      <c r="F4" s="1" t="s">
        <v>895</v>
      </c>
      <c r="G4" s="1" t="s">
        <v>896</v>
      </c>
      <c r="H4" s="1" t="s">
        <v>897</v>
      </c>
    </row>
    <row r="5" spans="1:8" x14ac:dyDescent="0.3">
      <c r="A5" s="1">
        <v>3</v>
      </c>
      <c r="B5" s="1" t="s">
        <v>898</v>
      </c>
      <c r="C5" s="1" t="s">
        <v>324</v>
      </c>
      <c r="D5" s="1" t="s">
        <v>51</v>
      </c>
      <c r="E5" s="1" t="s">
        <v>544</v>
      </c>
      <c r="F5" s="1" t="s">
        <v>899</v>
      </c>
      <c r="G5" s="1" t="s">
        <v>900</v>
      </c>
      <c r="H5" s="1" t="s">
        <v>901</v>
      </c>
    </row>
    <row r="6" spans="1:8" x14ac:dyDescent="0.3">
      <c r="A6" s="1">
        <v>4</v>
      </c>
      <c r="B6" s="1" t="s">
        <v>902</v>
      </c>
      <c r="C6" s="1" t="s">
        <v>343</v>
      </c>
      <c r="D6" s="1" t="s">
        <v>57</v>
      </c>
      <c r="E6" s="1" t="s">
        <v>34</v>
      </c>
      <c r="F6" s="1" t="s">
        <v>903</v>
      </c>
      <c r="G6" s="1" t="s">
        <v>904</v>
      </c>
      <c r="H6" s="1" t="s">
        <v>905</v>
      </c>
    </row>
    <row r="7" spans="1:8" x14ac:dyDescent="0.3">
      <c r="A7" s="1">
        <v>5</v>
      </c>
      <c r="B7" s="1" t="s">
        <v>906</v>
      </c>
      <c r="C7" s="1" t="s">
        <v>362</v>
      </c>
      <c r="D7" s="1" t="s">
        <v>69</v>
      </c>
      <c r="E7" s="1" t="s">
        <v>34</v>
      </c>
      <c r="F7" s="1" t="s">
        <v>907</v>
      </c>
      <c r="G7" s="1" t="s">
        <v>908</v>
      </c>
      <c r="H7" s="1" t="s">
        <v>909</v>
      </c>
    </row>
    <row r="8" spans="1:8" x14ac:dyDescent="0.3">
      <c r="A8" s="1">
        <v>6</v>
      </c>
      <c r="B8" s="1" t="s">
        <v>910</v>
      </c>
      <c r="C8" s="1" t="s">
        <v>362</v>
      </c>
      <c r="D8" s="1" t="s">
        <v>69</v>
      </c>
      <c r="E8" s="1" t="s">
        <v>34</v>
      </c>
      <c r="F8" s="1" t="s">
        <v>907</v>
      </c>
      <c r="G8" s="1" t="s">
        <v>908</v>
      </c>
      <c r="H8" s="1" t="s">
        <v>909</v>
      </c>
    </row>
    <row r="9" spans="1:8" x14ac:dyDescent="0.3">
      <c r="A9" s="1">
        <v>7</v>
      </c>
      <c r="B9" s="1" t="s">
        <v>911</v>
      </c>
      <c r="C9" s="1" t="s">
        <v>407</v>
      </c>
      <c r="D9" s="1" t="s">
        <v>86</v>
      </c>
      <c r="E9" s="1" t="s">
        <v>544</v>
      </c>
      <c r="F9" s="1" t="s">
        <v>912</v>
      </c>
      <c r="G9" s="1" t="s">
        <v>913</v>
      </c>
      <c r="H9" s="1" t="s">
        <v>914</v>
      </c>
    </row>
    <row r="10" spans="1:8" x14ac:dyDescent="0.3">
      <c r="A10" s="1">
        <v>8</v>
      </c>
      <c r="B10" s="1" t="s">
        <v>915</v>
      </c>
      <c r="C10" s="1" t="s">
        <v>427</v>
      </c>
      <c r="D10" s="1" t="s">
        <v>86</v>
      </c>
      <c r="E10" s="1" t="s">
        <v>78</v>
      </c>
      <c r="F10" s="1" t="s">
        <v>916</v>
      </c>
      <c r="G10" s="1" t="s">
        <v>917</v>
      </c>
      <c r="H10" s="1" t="s">
        <v>918</v>
      </c>
    </row>
    <row r="11" spans="1:8" x14ac:dyDescent="0.3">
      <c r="A11" s="1">
        <v>9</v>
      </c>
      <c r="B11" s="1" t="s">
        <v>919</v>
      </c>
      <c r="C11" s="1" t="s">
        <v>427</v>
      </c>
      <c r="D11" s="1" t="s">
        <v>86</v>
      </c>
      <c r="E11" s="1" t="s">
        <v>34</v>
      </c>
      <c r="F11" s="1" t="s">
        <v>920</v>
      </c>
      <c r="G11" s="1" t="s">
        <v>921</v>
      </c>
      <c r="H11" s="1" t="s">
        <v>922</v>
      </c>
    </row>
    <row r="12" spans="1:8" x14ac:dyDescent="0.3">
      <c r="A12" s="1">
        <v>10</v>
      </c>
      <c r="B12" s="1" t="s">
        <v>923</v>
      </c>
      <c r="C12" s="1" t="s">
        <v>477</v>
      </c>
      <c r="D12" s="1" t="s">
        <v>92</v>
      </c>
      <c r="E12" s="1" t="s">
        <v>426</v>
      </c>
      <c r="F12" s="1" t="s">
        <v>924</v>
      </c>
      <c r="G12" s="1" t="s">
        <v>925</v>
      </c>
      <c r="H12" s="1" t="s">
        <v>926</v>
      </c>
    </row>
    <row r="13" spans="1:8" x14ac:dyDescent="0.3">
      <c r="A13" s="1">
        <v>11</v>
      </c>
      <c r="B13" s="1" t="s">
        <v>927</v>
      </c>
      <c r="C13" s="1" t="s">
        <v>928</v>
      </c>
      <c r="D13" s="1" t="s">
        <v>826</v>
      </c>
      <c r="E13" s="1" t="s">
        <v>426</v>
      </c>
      <c r="F13" s="1" t="s">
        <v>929</v>
      </c>
      <c r="G13" s="1" t="s">
        <v>930</v>
      </c>
      <c r="H13" s="1" t="s">
        <v>931</v>
      </c>
    </row>
  </sheetData>
  <autoFilter ref="A2:H13" xr:uid="{00000000-0009-0000-0000-00000C000000}"/>
  <mergeCells count="1">
    <mergeCell ref="A1:H1"/>
  </mergeCells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B0011"/>
    <pageSetUpPr fitToPage="1"/>
  </sheetPr>
  <dimension ref="A1:H25"/>
  <sheetViews>
    <sheetView showGridLines="0" tabSelected="1" workbookViewId="0">
      <pane ySplit="2" topLeftCell="A3" activePane="bottomLeft" state="frozen"/>
      <selection pane="bottomLeft" sqref="A1:H2"/>
    </sheetView>
  </sheetViews>
  <sheetFormatPr defaultRowHeight="14.4" x14ac:dyDescent="0.3"/>
  <cols>
    <col min="1" max="3" width="24" customWidth="1"/>
    <col min="4" max="4" width="60" customWidth="1"/>
    <col min="5" max="5" width="30" customWidth="1"/>
    <col min="6" max="8" width="15" customWidth="1"/>
  </cols>
  <sheetData>
    <row r="1" spans="1:8" ht="25.05" customHeight="1" x14ac:dyDescent="0.3">
      <c r="A1" s="51" t="s">
        <v>932</v>
      </c>
      <c r="B1" s="29"/>
      <c r="C1" s="29"/>
      <c r="D1" s="29"/>
      <c r="E1" s="29"/>
      <c r="F1" s="29"/>
      <c r="G1" s="29"/>
      <c r="H1" s="30"/>
    </row>
    <row r="2" spans="1:8" x14ac:dyDescent="0.3">
      <c r="A2" s="32"/>
      <c r="B2" s="32"/>
      <c r="C2" s="32"/>
      <c r="D2" s="32"/>
      <c r="E2" s="32"/>
      <c r="F2" s="32"/>
      <c r="G2" s="32"/>
      <c r="H2" s="33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36"/>
      <c r="B4" s="37"/>
      <c r="C4" s="37"/>
      <c r="D4" s="37"/>
      <c r="E4" s="37"/>
      <c r="F4" s="37"/>
      <c r="G4" s="37"/>
      <c r="H4" s="38"/>
    </row>
    <row r="5" spans="1:8" x14ac:dyDescent="0.3">
      <c r="A5" s="42" t="s">
        <v>933</v>
      </c>
      <c r="B5" s="26"/>
      <c r="C5" s="26"/>
      <c r="D5" s="26"/>
      <c r="E5" s="26"/>
      <c r="F5" s="26"/>
      <c r="G5" s="26"/>
      <c r="H5" s="27"/>
    </row>
    <row r="6" spans="1:8" x14ac:dyDescent="0.3">
      <c r="A6" s="31"/>
      <c r="B6" s="32"/>
      <c r="C6" s="32"/>
      <c r="D6" s="32"/>
      <c r="E6" s="32"/>
      <c r="F6" s="32"/>
      <c r="G6" s="32"/>
      <c r="H6" s="33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6" t="s">
        <v>934</v>
      </c>
      <c r="B9" s="6" t="s">
        <v>935</v>
      </c>
      <c r="C9" s="6" t="s">
        <v>936</v>
      </c>
      <c r="D9" s="6" t="s">
        <v>937</v>
      </c>
      <c r="E9" s="6" t="s">
        <v>938</v>
      </c>
      <c r="F9" s="1"/>
      <c r="G9" s="1"/>
      <c r="H9" s="1"/>
    </row>
    <row r="10" spans="1:8" ht="28.8" x14ac:dyDescent="0.3">
      <c r="A10" s="1" t="s">
        <v>870</v>
      </c>
      <c r="B10" s="1" t="s">
        <v>939</v>
      </c>
      <c r="C10" s="1" t="s">
        <v>940</v>
      </c>
      <c r="D10" s="1" t="s">
        <v>941</v>
      </c>
      <c r="E10" s="1" t="s">
        <v>942</v>
      </c>
      <c r="F10" s="1"/>
      <c r="G10" s="1"/>
      <c r="H10" s="1"/>
    </row>
    <row r="11" spans="1:8" ht="28.8" x14ac:dyDescent="0.3">
      <c r="A11" s="1" t="s">
        <v>943</v>
      </c>
      <c r="B11" s="1" t="s">
        <v>944</v>
      </c>
      <c r="C11" s="1" t="s">
        <v>945</v>
      </c>
      <c r="D11" s="1" t="s">
        <v>946</v>
      </c>
      <c r="E11" s="1" t="s">
        <v>947</v>
      </c>
      <c r="F11" s="1"/>
      <c r="G11" s="1"/>
      <c r="H11" s="1"/>
    </row>
    <row r="12" spans="1:8" ht="28.8" x14ac:dyDescent="0.3">
      <c r="A12" s="1" t="s">
        <v>866</v>
      </c>
      <c r="B12" s="1" t="s">
        <v>948</v>
      </c>
      <c r="C12" s="1" t="s">
        <v>550</v>
      </c>
      <c r="D12" s="1" t="s">
        <v>949</v>
      </c>
      <c r="E12" s="1" t="s">
        <v>950</v>
      </c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36"/>
      <c r="B14" s="37"/>
      <c r="C14" s="37"/>
      <c r="D14" s="37"/>
      <c r="E14" s="37"/>
      <c r="F14" s="37"/>
      <c r="G14" s="37"/>
      <c r="H14" s="38"/>
    </row>
    <row r="15" spans="1:8" x14ac:dyDescent="0.3">
      <c r="A15" s="42" t="s">
        <v>951</v>
      </c>
      <c r="B15" s="37"/>
      <c r="C15" s="37"/>
      <c r="D15" s="37"/>
      <c r="E15" s="37"/>
      <c r="F15" s="37"/>
      <c r="G15" s="37"/>
      <c r="H15" s="38"/>
    </row>
    <row r="16" spans="1:8" x14ac:dyDescent="0.3">
      <c r="A16" s="36" t="s">
        <v>952</v>
      </c>
      <c r="B16" s="37"/>
      <c r="C16" s="37"/>
      <c r="D16" s="37"/>
      <c r="E16" s="37"/>
      <c r="F16" s="37"/>
      <c r="G16" s="37"/>
      <c r="H16" s="38"/>
    </row>
    <row r="17" spans="1:8" x14ac:dyDescent="0.3">
      <c r="A17" s="36" t="s">
        <v>953</v>
      </c>
      <c r="B17" s="37"/>
      <c r="C17" s="37"/>
      <c r="D17" s="37"/>
      <c r="E17" s="37"/>
      <c r="F17" s="37"/>
      <c r="G17" s="37"/>
      <c r="H17" s="38"/>
    </row>
    <row r="18" spans="1:8" x14ac:dyDescent="0.3">
      <c r="A18" s="36" t="s">
        <v>954</v>
      </c>
      <c r="B18" s="37"/>
      <c r="C18" s="37"/>
      <c r="D18" s="37"/>
      <c r="E18" s="37"/>
      <c r="F18" s="37"/>
      <c r="G18" s="37"/>
      <c r="H18" s="38"/>
    </row>
    <row r="19" spans="1:8" x14ac:dyDescent="0.3">
      <c r="A19" s="36" t="s">
        <v>955</v>
      </c>
      <c r="B19" s="37"/>
      <c r="C19" s="37"/>
      <c r="D19" s="37"/>
      <c r="E19" s="37"/>
      <c r="F19" s="37"/>
      <c r="G19" s="37"/>
      <c r="H19" s="38"/>
    </row>
    <row r="20" spans="1:8" x14ac:dyDescent="0.3">
      <c r="A20" s="36" t="s">
        <v>956</v>
      </c>
      <c r="B20" s="37"/>
      <c r="C20" s="37"/>
      <c r="D20" s="37"/>
      <c r="E20" s="37"/>
      <c r="F20" s="37"/>
      <c r="G20" s="37"/>
      <c r="H20" s="38"/>
    </row>
    <row r="21" spans="1:8" ht="57.6" x14ac:dyDescent="0.3">
      <c r="A21" s="1" t="s">
        <v>957</v>
      </c>
      <c r="B21" s="1"/>
      <c r="C21" s="1"/>
      <c r="D21" s="1"/>
      <c r="E21" s="1"/>
      <c r="F21" s="1"/>
      <c r="G21" s="1"/>
      <c r="H21" s="1"/>
    </row>
    <row r="22" spans="1:8" x14ac:dyDescent="0.3">
      <c r="A22" s="36"/>
      <c r="B22" s="37"/>
      <c r="C22" s="37"/>
      <c r="D22" s="37"/>
      <c r="E22" s="37"/>
      <c r="F22" s="37"/>
      <c r="G22" s="37"/>
      <c r="H22" s="38"/>
    </row>
    <row r="23" spans="1:8" x14ac:dyDescent="0.3">
      <c r="A23" s="42" t="s">
        <v>958</v>
      </c>
      <c r="B23" s="26"/>
      <c r="C23" s="26"/>
      <c r="D23" s="26"/>
      <c r="E23" s="26"/>
      <c r="F23" s="26"/>
      <c r="G23" s="26"/>
      <c r="H23" s="27"/>
    </row>
    <row r="24" spans="1:8" x14ac:dyDescent="0.3">
      <c r="A24" s="31"/>
      <c r="B24" s="32"/>
      <c r="C24" s="32"/>
      <c r="D24" s="32"/>
      <c r="E24" s="32"/>
      <c r="F24" s="32"/>
      <c r="G24" s="32"/>
      <c r="H24" s="33"/>
    </row>
    <row r="25" spans="1:8" x14ac:dyDescent="0.3">
      <c r="A25" s="1"/>
      <c r="B25" s="1"/>
      <c r="C25" s="1"/>
      <c r="D25" s="1"/>
      <c r="E25" s="1"/>
      <c r="F25" s="1"/>
      <c r="G25" s="1"/>
      <c r="H25" s="1"/>
    </row>
  </sheetData>
  <autoFilter ref="A2:H25" xr:uid="{00000000-0009-0000-0000-00000D000000}"/>
  <mergeCells count="12">
    <mergeCell ref="A23:H24"/>
    <mergeCell ref="A19:H19"/>
    <mergeCell ref="A14:H14"/>
    <mergeCell ref="A1:H2"/>
    <mergeCell ref="A5:H6"/>
    <mergeCell ref="A22:H22"/>
    <mergeCell ref="A17:H17"/>
    <mergeCell ref="A18:H18"/>
    <mergeCell ref="A4:H4"/>
    <mergeCell ref="A15:H15"/>
    <mergeCell ref="A20:H20"/>
    <mergeCell ref="A16:H16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Executive Dashboard</vt:lpstr>
      <vt:lpstr>How to Operate</vt:lpstr>
      <vt:lpstr>Delivery Plan</vt:lpstr>
      <vt:lpstr>Management Gantt</vt:lpstr>
      <vt:lpstr>Schedule Calendar</vt:lpstr>
      <vt:lpstr>Resource &amp; Capacity</vt:lpstr>
      <vt:lpstr>External Dependency Register</vt:lpstr>
      <vt:lpstr>RAID Log</vt:lpstr>
      <vt:lpstr>Governance Tracker</vt:lpstr>
      <vt:lpstr>Monitoring &amp; Handover</vt:lpstr>
      <vt:lpstr>Assumptions &amp; Calendar</vt:lpstr>
      <vt:lpstr>RACI</vt:lpstr>
      <vt:lpstr>Critical Path</vt:lpstr>
      <vt:lpstr>Management Resource 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HSBC AI Delivery Control Plan</dc:title>
  <dc:subject>End-to-end AI delivery control, milestones, dependencies, resource capacity, governance and go-live support</dc:subject>
  <dc:creator>OpenAI</dc:creator>
  <cp:lastModifiedBy>wrik basu</cp:lastModifiedBy>
  <dcterms:created xsi:type="dcterms:W3CDTF">2026-08-09T07:58:05Z</dcterms:created>
  <dcterms:modified xsi:type="dcterms:W3CDTF">2026-08-09T08:28:29Z</dcterms:modified>
</cp:coreProperties>
</file>