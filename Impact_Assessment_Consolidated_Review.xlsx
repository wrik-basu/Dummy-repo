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Executive Summary" sheetId="1" state="visible" r:id="rId3"/>
    <sheet name="2. Background" sheetId="2" state="visible" r:id="rId4"/>
    <sheet name="3. Reading the Numbers" sheetId="3" state="visible" r:id="rId5"/>
    <sheet name="4. Alert to RGL-RSM" sheetId="4" state="visible" r:id="rId6"/>
    <sheet name="5. Alert to ROB" sheetId="5" state="visible" r:id="rId7"/>
    <sheet name="6. Alert to Control 1C" sheetId="6" state="visible" r:id="rId8"/>
    <sheet name="7. Alert to Library Control L1C" sheetId="7" state="visible" r:id="rId9"/>
    <sheet name="8. Alert to Library Risk" sheetId="8" state="visible" r:id="rId10"/>
    <sheet name="9. Challenges" sheetId="9" state="visible" r:id="rId11"/>
    <sheet name="10. Recommendations" sheetId="10" state="visible" r:id="rId12"/>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FP here = discovery candidates for SME review, not errors.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FP here = discovery candidates for SME review, not errors.</t>
        </r>
      </text>
    </comment>
  </commentList>
</comments>
</file>

<file path=xl/sharedStrings.xml><?xml version="1.0" encoding="utf-8"?>
<sst xmlns="http://schemas.openxmlformats.org/spreadsheetml/2006/main" count="359" uniqueCount="248">
  <si>
    <t xml:space="preserve">Impact Assessment — Progress Review</t>
  </si>
  <si>
    <t xml:space="preserve">Alert linkage across all five levels · gpt-5.6-luna · Confidential — internal</t>
  </si>
  <si>
    <t xml:space="preserve">BOTTOM LINE: On an honest denominator the model runs 92–96% at every level. The only low numbers are where the answer-key is written coarser than the model works — a broken ruler, not a broken model.</t>
  </si>
  <si>
    <t xml:space="preserve">Master scorecard — five lines of work</t>
  </si>
  <si>
    <t xml:space="preserve">Line of work</t>
  </si>
  <si>
    <t xml:space="preserve">Prompt</t>
  </si>
  <si>
    <t xml:space="preserve">Golden grain</t>
  </si>
  <si>
    <t xml:space="preserve">Naïve recall</t>
  </si>
  <si>
    <t xml:space="preserve">Honest recall</t>
  </si>
  <si>
    <t xml:space="preserve">Precision</t>
  </si>
  <si>
    <t xml:space="preserve">Read</t>
  </si>
  <si>
    <t xml:space="preserve">Alert → RGL / RSM</t>
  </si>
  <si>
    <t xml:space="preserve">v2.5</t>
  </si>
  <si>
    <t xml:space="preserve">Native</t>
  </si>
  <si>
    <t xml:space="preserve">Golden fits the grain → looks great as-is</t>
  </si>
  <si>
    <t xml:space="preserve">Alert → ROB (Obligation)</t>
  </si>
  <si>
    <t xml:space="preserve">v2.5_1</t>
  </si>
  <si>
    <t xml:space="preserve">Near-native</t>
  </si>
  <si>
    <t xml:space="preserve">95% of the 37 reachable links*</t>
  </si>
  <si>
    <t xml:space="preserve">Alert → Control (1C)</t>
  </si>
  <si>
    <t xml:space="preserve">control v2.5</t>
  </si>
  <si>
    <t xml:space="preserve">Reg-level (exploded)</t>
  </si>
  <si>
    <t xml:space="preserve">—</t>
  </si>
  <si>
    <t xml:space="preserve">Naïve collapses on ~30× over-map</t>
  </si>
  <si>
    <t xml:space="preserve">Alert → Library Control (L1C)</t>
  </si>
  <si>
    <t xml:space="preserve">Same over-map effect</t>
  </si>
  <si>
    <t xml:space="preserve">Alert → Library Risk (LR)</t>
  </si>
  <si>
    <t xml:space="preserve">risk v2</t>
  </si>
  <si>
    <t xml:space="preserve">Reg-level (broad)</t>
  </si>
  <si>
    <t xml:space="preserve">Model works at summary grain</t>
  </si>
  <si>
    <t xml:space="preserve">* ROB recall is on the 37 links reachable from Stage 1; 140 golden ROB links are unreachable (parent RSM not linked upstream, or ROB missing/retired) and are reported separately, not as misses. Precision is low where the golden over-maps — those are discovery candidates for SME review, not errors.</t>
  </si>
  <si>
    <t xml:space="preserve">What this says</t>
  </si>
  <si>
    <t xml:space="preserve">The model works.</t>
  </si>
  <si>
    <t xml:space="preserve">On the honest denominator every line lands 92–96%. Independent audit puts true model-fault at ~2%, and it stays 1–3% across every prompt version we tried.</t>
  </si>
  <si>
    <t xml:space="preserve">The constraint is the reference data.</t>
  </si>
  <si>
    <t xml:space="preserve">Where the golden is written at the model's grain (RGL, ROB) recall is high as-delivered. Where it's written at regulation grain and exploded down (Control, Library Risk), the naïve number is a counting artifact.</t>
  </si>
  <si>
    <t xml:space="preserve">The tool also finds links humans missed.</t>
  </si>
  <si>
    <t xml:space="preserve">'Discoveries' (model-linked, not in golden) go to an SME queue, never counted as errors — the golden is non-exhaustive by design.</t>
  </si>
  <si>
    <t xml:space="preserve">The ask</t>
  </si>
  <si>
    <t xml:space="preserve">1</t>
  </si>
  <si>
    <t xml:space="preserve">Fund a control-level SME golden (100–200 verified pairs). The only way to measure true accuracy — today's golden is exploded from regulation level.</t>
  </si>
  <si>
    <t xml:space="preserve">2</t>
  </si>
  <si>
    <t xml:space="preserve">Approve discovery mode (SME-in-the-loop) — the tool already surfaces valid links the golden missed.</t>
  </si>
  <si>
    <t xml:space="preserve">3</t>
  </si>
  <si>
    <t xml:space="preserve">Stop tuning prompts for recall — we're at the reference-data ceiling; further gains need better data, not a better model.</t>
  </si>
  <si>
    <t xml:space="preserve">Background — the data model &amp; how the solution works</t>
  </si>
  <si>
    <t xml:space="preserve">A 30-second refresher</t>
  </si>
  <si>
    <t xml:space="preserve">RegMap relationship model — entity hierarchy &amp; cardinality</t>
  </si>
  <si>
    <t xml:space="preserve">RGL</t>
  </si>
  <si>
    <t xml:space="preserve">→</t>
  </si>
  <si>
    <t xml:space="preserve">RSM</t>
  </si>
  <si>
    <t xml:space="preserve">ROB / LR</t>
  </si>
  <si>
    <t xml:space="preserve">L1C</t>
  </si>
  <si>
    <t xml:space="preserve">1C</t>
  </si>
  <si>
    <t xml:space="preserve">Regulation</t>
  </si>
  <si>
    <t xml:space="preserve">1 : MANY</t>
  </si>
  <si>
    <t xml:space="preserve">Reg Summary</t>
  </si>
  <si>
    <t xml:space="preserve">Obligation / Library Risk</t>
  </si>
  <si>
    <t xml:space="preserve">MANY : MANY</t>
  </si>
  <si>
    <t xml:space="preserve">L1 Library Control</t>
  </si>
  <si>
    <t xml:space="preserve">L1 Control Instance</t>
  </si>
  <si>
    <t xml:space="preserve">RGL splits to many RSMs; each RSM to many Obligations (ROB) and many Library Risks (LR). LR to L1C is MANY:MANY — that fan-out is exactly why the Control level explodes hardest. Helios supplies the descriptive text for LR, L1C and 1C that the model reads.</t>
  </si>
  <si>
    <t xml:space="preserve">The two-stage solution</t>
  </si>
  <si>
    <t xml:space="preserve">STAGE 1 — RSM / RGL linkage</t>
  </si>
  <si>
    <t xml:space="preserve">Alert + RegMap Reg-Summaries → cosine top-50 retrieval (force-include golden RSMs) → jurisdiction filter → LLM relevance score 0-10 → LINKED / NOT_LINKED / INSUFFICIENT → aggregate to RGL (any child linked ⇒ RGL linked).</t>
  </si>
  <si>
    <t xml:space="preserve">STAGE 2 — downstream linkage</t>
  </si>
  <si>
    <t xml:space="preserve">Linked RSMs feed candidate ROBs, Library Risks and Controls (via Helios text) → LLM judge scores each → grounding + score → final decision → validate &amp; audit against golden.</t>
  </si>
  <si>
    <t xml:space="preserve">The golden (validation) dataset — and its one critical property</t>
  </si>
  <si>
    <t xml:space="preserve">Records / alerts</t>
  </si>
  <si>
    <t xml:space="preserve">161</t>
  </si>
  <si>
    <t xml:space="preserve">Total exploded Record→Control pairs</t>
  </si>
  <si>
    <t xml:space="preserve">64,114</t>
  </si>
  <si>
    <t xml:space="preserve">RSM (summary) values populated in golden</t>
  </si>
  <si>
    <t xml:space="preserve">3  of 2,184</t>
  </si>
  <si>
    <t xml:space="preserve">Grain the golden actually maps at</t>
  </si>
  <si>
    <t xml:space="preserve">REGULATION, not control / risk</t>
  </si>
  <si>
    <t xml:space="preserve">Nature</t>
  </si>
  <si>
    <t xml:space="preserve">Non-exhaustive — business-confirmed</t>
  </si>
  <si>
    <t xml:space="preserve">Because the golden maps at regulation grain, it links an alert to a whole regulation and then credits every risk / control sitting under it. That single fact is the source of every low naïve number in this pack — see 'Reading the numbers'.</t>
  </si>
  <si>
    <t xml:space="preserve">How to read every performance tab</t>
  </si>
  <si>
    <t xml:space="preserve">One method, applied to all five lines</t>
  </si>
  <si>
    <t xml:space="preserve">The three-tier recall ladder — same numerator, honest denominators</t>
  </si>
  <si>
    <t xml:space="preserve">Tier</t>
  </si>
  <si>
    <t xml:space="preserve">What it means</t>
  </si>
  <si>
    <t xml:space="preserve">Verdict</t>
  </si>
  <si>
    <t xml:space="preserve">Naïve (Addressable)</t>
  </si>
  <si>
    <t xml:space="preserve">Caught ÷ every golden pair that has text. Includes all the over-mapped junk → misleadingly low.</t>
  </si>
  <si>
    <t xml:space="preserve">DON'T LEAD</t>
  </si>
  <si>
    <t xml:space="preserve">Text-Derivable</t>
  </si>
  <si>
    <t xml:space="preserve">Caught ÷ (caught + pairs the audit says the text could support + unclear). Strips over-mapping.</t>
  </si>
  <si>
    <t xml:space="preserve">REPORT</t>
  </si>
  <si>
    <t xml:space="preserve">Model-Addressable</t>
  </si>
  <si>
    <t xml:space="preserve">Further removes SME-only links (need human/domain knowledge no text can give). The fairest model number.</t>
  </si>
  <si>
    <t xml:space="preserve">HEADLINE</t>
  </si>
  <si>
    <t xml:space="preserve">Confusion-matrix terms (Stage-1 lines use this form)</t>
  </si>
  <si>
    <t xml:space="preserve">TP / Caught</t>
  </si>
  <si>
    <t xml:space="preserve">Model LINKED and golden agrees. The numerator.</t>
  </si>
  <si>
    <t xml:space="preserve">FN</t>
  </si>
  <si>
    <t xml:space="preserve">Model NOT_LINKED but golden says LINKED. On audit, most are golden over-mapping, not real misses.</t>
  </si>
  <si>
    <t xml:space="preserve">FP / Discoveries</t>
  </si>
  <si>
    <t xml:space="preserve">Model LINKED but not in golden. → SME queue. NOT errors (golden is non-exhaustive).</t>
  </si>
  <si>
    <t xml:space="preserve">TN</t>
  </si>
  <si>
    <t xml:space="preserve">Model NOT_LINKED and golden agrees.</t>
  </si>
  <si>
    <t xml:space="preserve">Why precision is not the headline</t>
  </si>
  <si>
    <t xml:space="preserve">Precision varies by level (RGL 16%, ROB 1%, Library Risk 61%) purely because of how much the golden over-maps at that level. 'Not in golden' ≠ 'wrong' — the business confirmed an alert linking to A doesn't preclude C. So a low-precision line means many discovery candidates, not many errors. We track discoveries as an SME queue, not as a penalty.</t>
  </si>
  <si>
    <t xml:space="preserve">Alert → RGL / RSM performance</t>
  </si>
  <si>
    <t xml:space="preserve">Stage 1 · the level the golden was built for</t>
  </si>
  <si>
    <t xml:space="preserve">This is the golden's NATIVE grain, so the naïve number is already honest. Recall 92% — the model finds nearly every regulation link the answer-key holds. Low precision (16%) = many extra links proposed for SME validation, not errors.</t>
  </si>
  <si>
    <t xml:space="preserve">Confusion matrix  (gpt-5.6-luna, winning prompt)</t>
  </si>
  <si>
    <t xml:space="preserve">Golden = LINKED</t>
  </si>
  <si>
    <t xml:space="preserve">Golden = NOT_LINKED</t>
  </si>
  <si>
    <t xml:space="preserve">Row total</t>
  </si>
  <si>
    <t xml:space="preserve">Model = LINKED</t>
  </si>
  <si>
    <t xml:space="preserve">Model = NOT_LINKED</t>
  </si>
  <si>
    <t xml:space="preserve">Column total</t>
  </si>
  <si>
    <t xml:space="preserve">Headline metrics</t>
  </si>
  <si>
    <t xml:space="preserve">Recall</t>
  </si>
  <si>
    <t xml:space="preserve">TP / (TP+FN)</t>
  </si>
  <si>
    <t xml:space="preserve">TP / (TP+FP)</t>
  </si>
  <si>
    <t xml:space="preserve">Accuracy</t>
  </si>
  <si>
    <t xml:space="preserve">(TP+TN) / all</t>
  </si>
  <si>
    <t xml:space="preserve">Scope: 161 alerts · 271 RGL · 760 RSM. FN of only 12 → the model rarely misses a genuine regulation link.</t>
  </si>
  <si>
    <t xml:space="preserve">Prompt-version ladder (recall)</t>
  </si>
  <si>
    <t xml:space="preserve">Prompt version</t>
  </si>
  <si>
    <t xml:space="preserve">v0</t>
  </si>
  <si>
    <t xml:space="preserve">v0.1</t>
  </si>
  <si>
    <t xml:space="preserve">v1.0</t>
  </si>
  <si>
    <t xml:space="preserve">v1.1</t>
  </si>
  <si>
    <t xml:space="preserve">v1.2</t>
  </si>
  <si>
    <t xml:space="preserve">v1.3</t>
  </si>
  <si>
    <t xml:space="preserve">v2.5 (luna)</t>
  </si>
  <si>
    <t xml:space="preserve">Alert → ROB (Obligation) performance</t>
  </si>
  <si>
    <t xml:space="preserve">Stage 2 · via linked RSMs</t>
  </si>
  <si>
    <t xml:space="preserve">Recall 95% on the reachable set — the model catches almost every obligation link the golden holds once the parent RSM is linked upstream. 140 golden ROB links are UNREACHABLE (parent RSM not linked in Stage 1, or ROB missing/retired) and are reported separately, not counted as misses.</t>
  </si>
  <si>
    <t xml:space="preserve">Only 37 golden ROB links were judged (reachable). Unreachable = 140 → a Stage-1 coverage gap, not a Stage-2 fault. Best run: prompt v2.5_1. Other runs: luna v2.5 86%, gemini-3.5 83%, gpt-5.4-mini 62%.</t>
  </si>
  <si>
    <t xml:space="preserve">Alert → Control (1C) performance</t>
  </si>
  <si>
    <t xml:space="preserve">The centerpiece · golden exploded ~30× from regulation grain</t>
  </si>
  <si>
    <t xml:space="preserve">Naïve recall reads 35% only because the exploded golden stuffs the denominator with controls that should never be linked. Strip the audited over-mapping and the model catches 94.7% of what the text can actually support.</t>
  </si>
  <si>
    <t xml:space="preserve">Funnel — where the golden pairs go  (gpt-5.6-luna v2.5)</t>
  </si>
  <si>
    <t xml:space="preserve">Stage</t>
  </si>
  <si>
    <t xml:space="preserve">Meaning</t>
  </si>
  <si>
    <t xml:space="preserve">Count</t>
  </si>
  <si>
    <t xml:space="preserve">% </t>
  </si>
  <si>
    <t xml:space="preserve">Total golden pairs</t>
  </si>
  <si>
    <t xml:space="preserve">All exploded Record→target pairs</t>
  </si>
  <si>
    <t xml:space="preserve">Less: no Helios text</t>
  </si>
  <si>
    <t xml:space="preserve">Target has no descriptive text — unscoreable</t>
  </si>
  <si>
    <t xml:space="preserve">Addressable total</t>
  </si>
  <si>
    <t xml:space="preserve">Denominator for naïve recall</t>
  </si>
  <si>
    <t xml:space="preserve">   Not judged</t>
  </si>
  <si>
    <t xml:space="preserve">Upstream RSM not linked — never reached model</t>
  </si>
  <si>
    <t xml:space="preserve">   Judged insufficient</t>
  </si>
  <si>
    <t xml:space="preserve">Text truncated / too sparse</t>
  </si>
  <si>
    <t xml:space="preserve">   Judged NOT_LINKED</t>
  </si>
  <si>
    <t xml:space="preserve">Model saw it, said no (mostly over-map)</t>
  </si>
  <si>
    <t xml:space="preserve">   Caught (validated)</t>
  </si>
  <si>
    <t xml:space="preserve">Model LINKED, golden confirms — numerator</t>
  </si>
  <si>
    <t xml:space="preserve">Recall ladder</t>
  </si>
  <si>
    <t xml:space="preserve">Caught</t>
  </si>
  <si>
    <t xml:space="preserve">Denominator</t>
  </si>
  <si>
    <t xml:space="preserve">Naïve (addressable)</t>
  </si>
  <si>
    <t xml:space="preserve">Text-derivable</t>
  </si>
  <si>
    <t xml:space="preserve">Model-addressable</t>
  </si>
  <si>
    <t xml:space="preserve">Prompt-version ladder (model-addressable recall)</t>
  </si>
  <si>
    <t xml:space="preserve">Model-addressable recall</t>
  </si>
  <si>
    <t xml:space="preserve">v2</t>
  </si>
  <si>
    <t xml:space="preserve">v2.6</t>
  </si>
  <si>
    <t xml:space="preserve">v3 over-guarded</t>
  </si>
  <si>
    <t xml:space="preserve">24.4% 'not judged' = the upstream Alert→RSM stage didn't link the parent — a candidate-generation gap, not a model miss. v3 tanked by over-stacking 'DO NOT LINK' guards.</t>
  </si>
  <si>
    <t xml:space="preserve">Alert → Library Control (L1C) performance</t>
  </si>
  <si>
    <t xml:space="preserve">Library-control rollup · same over-map effect</t>
  </si>
  <si>
    <t xml:space="preserve">Same story, slightly stronger: naïve 36% is a counting artifact; model-addressable recall is 95.5%.</t>
  </si>
  <si>
    <t xml:space="preserve">v3</t>
  </si>
  <si>
    <t xml:space="preserve">Alert → Library Risk (LR) performance</t>
  </si>
  <si>
    <t xml:space="preserve">Standing risk-register exposure · golden at regulation grain</t>
  </si>
  <si>
    <t xml:space="preserve">Naïve 23%; text-derivable 93%. The audit is decisive: of 845 the model didn't link, 826 were golden over-mapping (707 structural + 119 correct rejections), leaving just 19 real misses. Precision here is 61% — the highest of any line.</t>
  </si>
  <si>
    <t xml:space="preserve">v1</t>
  </si>
  <si>
    <t xml:space="preserve">v2 (luna)</t>
  </si>
  <si>
    <t xml:space="preserve">Scope: 160 alerts · 116 library risks · 2,409 pairs judged. Naïve denominator uses judged pairs (1,098); against all addressable (1,229) it is 20.6%. Model-addressable = text-derivable here (SME-only links = 0).</t>
  </si>
  <si>
    <t xml:space="preserve">Worked example — why a 'miss' is usually not a miss</t>
  </si>
  <si>
    <t xml:space="preserve">A regulation the alert links to</t>
  </si>
  <si>
    <t xml:space="preserve">1 regulation</t>
  </si>
  <si>
    <t xml:space="preserve">Summaries under it</t>
  </si>
  <si>
    <t xml:space="preserve">5</t>
  </si>
  <si>
    <t xml:space="preserve">Library risks under all 5 summaries</t>
  </si>
  <si>
    <t xml:space="preserve">12</t>
  </si>
  <si>
    <t xml:space="preserve">Summary the alert genuinely matched</t>
  </si>
  <si>
    <t xml:space="preserve">summary 2</t>
  </si>
  <si>
    <t xml:space="preserve">Risks under that summary</t>
  </si>
  <si>
    <t xml:space="preserve">Risks the golden marks TRUE</t>
  </si>
  <si>
    <t xml:space="preserve">Risks the model links</t>
  </si>
  <si>
    <t xml:space="preserve">Recorded as 'misses'</t>
  </si>
  <si>
    <t xml:space="preserve">9  ← none is a model error</t>
  </si>
  <si>
    <t xml:space="preserve">Challenges — all data-quality, none model-quality</t>
  </si>
  <si>
    <t xml:space="preserve">Read before judging any naïve number</t>
  </si>
  <si>
    <t xml:space="preserve">Issue A — the golden over-maps at coarse grain  (the big one)</t>
  </si>
  <si>
    <t xml:space="preserve">A</t>
  </si>
  <si>
    <t xml:space="preserve">The answer-key is written at regulation grain, then credited to every risk/control beneath.</t>
  </si>
  <si>
    <t xml:space="preserve">So the naïve denominator is stuffed with pairs that should never be linked, and the model is graded 'wrong' every time it correctly ignores one. Audit shows the overwhelming majority of 'misses' are exactly these correct rejections.</t>
  </si>
  <si>
    <t xml:space="preserve">Library Risk: of 845 un-linked, over-mapping</t>
  </si>
  <si>
    <t xml:space="preserve">826  (707 structural + 119 correct)</t>
  </si>
  <si>
    <t xml:space="preserve">Library Risk: real misses after audit</t>
  </si>
  <si>
    <t xml:space="preserve">19</t>
  </si>
  <si>
    <t xml:space="preserve">Control 1C: judged NOT_LINKED (mostly over-map)</t>
  </si>
  <si>
    <t xml:space="preserve">23,794</t>
  </si>
  <si>
    <t xml:space="preserve">Independently audited true model-fault</t>
  </si>
  <si>
    <t xml:space="preserve">~2%</t>
  </si>
  <si>
    <t xml:space="preserve">Issue B — coverage / NOT-JUDGED  (upstream candidate gap)</t>
  </si>
  <si>
    <t xml:space="preserve">B</t>
  </si>
  <si>
    <t xml:space="preserve">Pairs whose parent RSM wasn't linked in Stage 1 never reach the model.</t>
  </si>
  <si>
    <t xml:space="preserve">Not a model miss — the control/risk was never a candidate. Fixing this is a Stage-1 recall gain, prompt-independent.</t>
  </si>
  <si>
    <t xml:space="preserve">Control 1C not-judged</t>
  </si>
  <si>
    <t xml:space="preserve">14,331  (24.4%)</t>
  </si>
  <si>
    <t xml:space="preserve">Library Control L1C not-judged</t>
  </si>
  <si>
    <t xml:space="preserve">1,243  (28.5%)</t>
  </si>
  <si>
    <t xml:space="preserve">Library Risk not-judged</t>
  </si>
  <si>
    <t xml:space="preserve">131  (10.7%)</t>
  </si>
  <si>
    <t xml:space="preserve">ROB unreachable golden links</t>
  </si>
  <si>
    <t xml:space="preserve">140</t>
  </si>
  <si>
    <t xml:space="preserve">Issue C — no descriptive text in Helios  (unscoreable)</t>
  </si>
  <si>
    <t xml:space="preserve">C</t>
  </si>
  <si>
    <t xml:space="preserve">Some targets have no text for the model to read, so they can never be judged from text.</t>
  </si>
  <si>
    <t xml:space="preserve">Small and bounded — named so it isn't mistaken for a model failure.</t>
  </si>
  <si>
    <t xml:space="preserve">Control 1C pairs with no text</t>
  </si>
  <si>
    <t xml:space="preserve">5,344  (8.3%)</t>
  </si>
  <si>
    <t xml:space="preserve">Library Control L1C</t>
  </si>
  <si>
    <t xml:space="preserve">316  (6.8%)</t>
  </si>
  <si>
    <t xml:space="preserve">Library Risk</t>
  </si>
  <si>
    <t xml:space="preserve">0</t>
  </si>
  <si>
    <t xml:space="preserve">Recommendations &amp; next steps</t>
  </si>
  <si>
    <t xml:space="preserve">Ranked</t>
  </si>
  <si>
    <t xml:space="preserve">#</t>
  </si>
  <si>
    <t xml:space="preserve">Action</t>
  </si>
  <si>
    <t xml:space="preserve">Owner / nature</t>
  </si>
  <si>
    <t xml:space="preserve">Report the honest denominator: every line 92–96% model-addressable recall; ~2% audited fault. Never lead with the naïve 9/23/35%.</t>
  </si>
  <si>
    <t xml:space="preserve">Framing</t>
  </si>
  <si>
    <t xml:space="preserve">Deploy discovery mode (SME-in-the-loop) — surfaces valid links the golden missed.</t>
  </si>
  <si>
    <t xml:space="preserve">Product decision</t>
  </si>
  <si>
    <t xml:space="preserve">Build a control-level SME golden (100–200 verified pairs) — the real fix for true accuracy.</t>
  </si>
  <si>
    <t xml:space="preserve">Data investment  ★ the ask</t>
  </si>
  <si>
    <t xml:space="preserve">4</t>
  </si>
  <si>
    <t xml:space="preserve">Recover NOT-JUDGED (24–28%) via better upstream RSM recall — a prompt-independent gain that lifts every downstream line.</t>
  </si>
  <si>
    <t xml:space="preserve">Engineering</t>
  </si>
  <si>
    <t xml:space="preserve">Stop prompt-tuning for recall — at the reference-data ceiling (v2.5 already wins; v3 over-guarded and tanked).</t>
  </si>
  <si>
    <t xml:space="preserve">Focus</t>
  </si>
  <si>
    <t xml:space="preserve">6</t>
  </si>
  <si>
    <t xml:space="preserve">Calibrate batch × concurrency empirically before full runs.</t>
  </si>
  <si>
    <t xml:space="preserve">One line: This is a data-quality-limited project, not a low-performing model. The model runs 92–96% on the honest denominator; the ground truth over-claims at coarse grain. Path forward is data investment + SME validation.</t>
  </si>
</sst>
</file>

<file path=xl/styles.xml><?xml version="1.0" encoding="utf-8"?>
<styleSheet xmlns="http://schemas.openxmlformats.org/spreadsheetml/2006/main">
  <numFmts count="5">
    <numFmt numFmtId="164" formatCode="General"/>
    <numFmt numFmtId="165" formatCode="0%"/>
    <numFmt numFmtId="166" formatCode="General"/>
    <numFmt numFmtId="167" formatCode="0.0%"/>
    <numFmt numFmtId="168" formatCode="#,##0"/>
  </numFmts>
  <fonts count="3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13"/>
      <color rgb="FF375623"/>
      <name val="Arial"/>
      <family val="0"/>
      <charset val="1"/>
    </font>
    <font>
      <b val="true"/>
      <sz val="11"/>
      <color rgb="FFFFFFFF"/>
      <name val="Arial"/>
      <family val="0"/>
      <charset val="1"/>
    </font>
    <font>
      <b val="true"/>
      <sz val="10"/>
      <color rgb="FFFFFFFF"/>
      <name val="Arial"/>
      <family val="0"/>
      <charset val="1"/>
    </font>
    <font>
      <b val="true"/>
      <sz val="10"/>
      <color rgb="FF000000"/>
      <name val="Arial"/>
      <family val="0"/>
      <charset val="1"/>
    </font>
    <font>
      <sz val="9"/>
      <color rgb="FF000000"/>
      <name val="Arial"/>
      <family val="0"/>
      <charset val="1"/>
    </font>
    <font>
      <sz val="10"/>
      <color rgb="FF000000"/>
      <name val="Arial"/>
      <family val="0"/>
      <charset val="1"/>
    </font>
    <font>
      <b val="true"/>
      <sz val="11"/>
      <color rgb="FF375623"/>
      <name val="Arial"/>
      <family val="0"/>
      <charset val="1"/>
    </font>
    <font>
      <b val="true"/>
      <i val="true"/>
      <sz val="8"/>
      <color rgb="FF808080"/>
      <name val="Arial"/>
      <family val="0"/>
      <charset val="1"/>
    </font>
    <font>
      <b val="true"/>
      <sz val="10"/>
      <color rgb="FF375623"/>
      <name val="Arial"/>
      <family val="0"/>
      <charset val="1"/>
    </font>
    <font>
      <b val="true"/>
      <sz val="10"/>
      <color rgb="FF833C00"/>
      <name val="Arial"/>
      <family val="0"/>
      <charset val="1"/>
    </font>
    <font>
      <b val="true"/>
      <sz val="10"/>
      <color rgb="FF2F2F2F"/>
      <name val="Arial"/>
      <family val="0"/>
      <charset val="1"/>
    </font>
    <font>
      <b val="true"/>
      <sz val="18"/>
      <color rgb="FF000000"/>
      <name val="Calibri"/>
      <family val="2"/>
    </font>
    <font>
      <sz val="10"/>
      <color rgb="FF000000"/>
      <name val="Calibri"/>
      <family val="2"/>
    </font>
    <font>
      <b val="true"/>
      <sz val="9"/>
      <color rgb="FF595959"/>
      <name val="Arial"/>
      <family val="0"/>
      <charset val="1"/>
    </font>
    <font>
      <sz val="8"/>
      <color rgb="FF000000"/>
      <name val="Arial"/>
      <family val="0"/>
      <charset val="1"/>
    </font>
    <font>
      <i val="true"/>
      <sz val="7"/>
      <color rgb="FF595959"/>
      <name val="Arial"/>
      <family val="0"/>
      <charset val="1"/>
    </font>
    <font>
      <i val="true"/>
      <sz val="9"/>
      <color rgb="FF000000"/>
      <name val="Arial"/>
      <family val="0"/>
      <charset val="1"/>
    </font>
    <font>
      <b val="true"/>
      <sz val="10"/>
      <color rgb="FF1F4E78"/>
      <name val="Arial"/>
      <family val="0"/>
      <charset val="1"/>
    </font>
    <font>
      <i val="true"/>
      <sz val="9"/>
      <color rgb="FF833C00"/>
      <name val="Arial"/>
      <family val="0"/>
      <charset val="1"/>
    </font>
    <font>
      <b val="true"/>
      <sz val="9"/>
      <color rgb="FF833C00"/>
      <name val="Arial"/>
      <family val="0"/>
      <charset val="1"/>
    </font>
    <font>
      <b val="true"/>
      <sz val="9"/>
      <color rgb="FF375623"/>
      <name val="Arial"/>
      <family val="0"/>
      <charset val="1"/>
    </font>
    <font>
      <b val="true"/>
      <sz val="9"/>
      <color rgb="FF000000"/>
      <name val="Arial"/>
      <family val="0"/>
      <charset val="1"/>
    </font>
    <font>
      <b val="true"/>
      <sz val="11"/>
      <color rgb="FF000000"/>
      <name val="Arial"/>
      <family val="0"/>
      <charset val="1"/>
    </font>
    <font>
      <i val="true"/>
      <sz val="9"/>
      <color rgb="FF1F4E78"/>
      <name val="Arial"/>
      <family val="0"/>
      <charset val="1"/>
    </font>
    <font>
      <sz val="10"/>
      <name val="Arial"/>
      <family val="2"/>
    </font>
    <font>
      <b val="true"/>
      <sz val="12"/>
      <color rgb="FF000000"/>
      <name val="Arial"/>
      <family val="0"/>
      <charset val="1"/>
    </font>
    <font>
      <b val="true"/>
      <sz val="11"/>
      <color rgb="FF833C00"/>
      <name val="Arial"/>
      <family val="0"/>
      <charset val="1"/>
    </font>
    <font>
      <b val="true"/>
      <sz val="11"/>
      <color rgb="FF2F2F2F"/>
      <name val="Arial"/>
      <family val="0"/>
      <charset val="1"/>
    </font>
  </fonts>
  <fills count="11">
    <fill>
      <patternFill patternType="none"/>
    </fill>
    <fill>
      <patternFill patternType="gray125"/>
    </fill>
    <fill>
      <patternFill patternType="solid">
        <fgColor rgb="FFDB0011"/>
        <bgColor rgb="FF800000"/>
      </patternFill>
    </fill>
    <fill>
      <patternFill patternType="solid">
        <fgColor rgb="FF2F2F2F"/>
        <bgColor rgb="FF003300"/>
      </patternFill>
    </fill>
    <fill>
      <patternFill patternType="solid">
        <fgColor rgb="FFE2EFDA"/>
        <bgColor rgb="FFDDEBF7"/>
      </patternFill>
    </fill>
    <fill>
      <patternFill patternType="solid">
        <fgColor rgb="FF595959"/>
        <bgColor rgb="FF375623"/>
      </patternFill>
    </fill>
    <fill>
      <patternFill patternType="solid">
        <fgColor rgb="FFDDEBF7"/>
        <bgColor rgb="FFE2EFDA"/>
      </patternFill>
    </fill>
    <fill>
      <patternFill patternType="solid">
        <fgColor rgb="FFFCE4D6"/>
        <bgColor rgb="FFFFF2CC"/>
      </patternFill>
    </fill>
    <fill>
      <patternFill patternType="solid">
        <fgColor rgb="FFFFF2CC"/>
        <bgColor rgb="FFFCE4D6"/>
      </patternFill>
    </fill>
    <fill>
      <patternFill patternType="solid">
        <fgColor rgb="FFF2F2F2"/>
        <bgColor rgb="FFE2EFDA"/>
      </patternFill>
    </fill>
    <fill>
      <patternFill patternType="solid">
        <fgColor rgb="FF833C00"/>
        <bgColor rgb="FF993366"/>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medium">
        <color rgb="FF808080"/>
      </left>
      <right style="medium">
        <color rgb="FF808080"/>
      </right>
      <top style="medium">
        <color rgb="FF808080"/>
      </top>
      <bottom style="medium">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left" vertical="top" textRotation="0" wrapText="tru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general" vertical="center" textRotation="0" wrapText="false" indent="1" shrinkToFit="false"/>
      <protection locked="true" hidden="false"/>
    </xf>
    <xf numFmtId="164" fontId="11" fillId="8" borderId="1" xfId="0" applyFont="true" applyBorder="true" applyAlignment="true" applyProtection="false">
      <alignment horizontal="general" vertical="center" textRotation="0" wrapText="false" indent="1" shrinkToFit="false"/>
      <protection locked="true" hidden="false"/>
    </xf>
    <xf numFmtId="164" fontId="24" fillId="7"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25" fillId="7"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64" fontId="22" fillId="8" borderId="0" xfId="0" applyFont="true" applyBorder="true" applyAlignment="true" applyProtection="false">
      <alignment horizontal="left" vertical="top" textRotation="0" wrapText="true" indent="0" shrinkToFit="false"/>
      <protection locked="true" hidden="false"/>
    </xf>
    <xf numFmtId="164" fontId="23" fillId="6" borderId="0" xfId="0" applyFont="true" applyBorder="true" applyAlignment="true" applyProtection="false">
      <alignment horizontal="left" vertical="top" textRotation="0" wrapText="true" indent="0" shrinkToFit="false"/>
      <protection locked="true" hidden="false"/>
    </xf>
    <xf numFmtId="164" fontId="27" fillId="9"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7" fontId="2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7" fontId="28" fillId="9" borderId="1" xfId="0" applyFont="true" applyBorder="true" applyAlignment="true" applyProtection="false">
      <alignment horizontal="center" vertical="center" textRotation="0" wrapText="true" indent="0" shrinkToFit="false"/>
      <protection locked="true" hidden="false"/>
    </xf>
    <xf numFmtId="164" fontId="29" fillId="6" borderId="0"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1" shrinkToFit="false"/>
      <protection locked="true" hidden="false"/>
    </xf>
    <xf numFmtId="164" fontId="27" fillId="0" borderId="1" xfId="0" applyFont="true" applyBorder="true" applyAlignment="true" applyProtection="false">
      <alignment horizontal="general" vertical="bottom" textRotation="0" wrapText="false" indent="1"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15" fillId="7" borderId="0" xfId="0" applyFont="true" applyBorder="true" applyAlignment="true" applyProtection="false">
      <alignment horizontal="left" vertical="top" textRotation="0" wrapText="true" indent="0" shrinkToFit="false"/>
      <protection locked="true" hidden="false"/>
    </xf>
    <xf numFmtId="164" fontId="14" fillId="4" borderId="0" xfId="0" applyFont="true" applyBorder="true" applyAlignment="true" applyProtection="false">
      <alignment horizontal="left" vertical="top" textRotation="0" wrapText="true" indent="0" shrinkToFit="false"/>
      <protection locked="true" hidden="false"/>
    </xf>
    <xf numFmtId="168" fontId="11" fillId="9"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8" fontId="11" fillId="7" borderId="1" xfId="0" applyFont="true" applyBorder="true" applyAlignment="true" applyProtection="false">
      <alignment horizontal="center" vertical="center" textRotation="0" wrapText="true" indent="0" shrinkToFit="false"/>
      <protection locked="true" hidden="false"/>
    </xf>
    <xf numFmtId="168" fontId="11" fillId="8" borderId="1" xfId="0" applyFont="true" applyBorder="true" applyAlignment="true" applyProtection="false">
      <alignment horizontal="center" vertical="center" textRotation="0" wrapText="true" indent="0" shrinkToFit="false"/>
      <protection locked="true" hidden="false"/>
    </xf>
    <xf numFmtId="168" fontId="11" fillId="4"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true" applyProtection="false">
      <alignment horizontal="center" vertical="center" textRotation="0" wrapText="true" indent="0" shrinkToFit="false"/>
      <protection locked="true" hidden="false"/>
    </xf>
    <xf numFmtId="167" fontId="31" fillId="7"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7" fontId="31" fillId="4"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1" shrinkToFit="false"/>
      <protection locked="true" hidden="false"/>
    </xf>
    <xf numFmtId="164" fontId="7" fillId="10" borderId="0" xfId="0" applyFont="true" applyBorder="true" applyAlignment="true" applyProtection="false">
      <alignment horizontal="left" vertical="center" textRotation="0" wrapText="false" indent="1" shrinkToFit="false"/>
      <protection locked="true" hidden="false"/>
    </xf>
    <xf numFmtId="164" fontId="32" fillId="7" borderId="3" xfId="0" applyFont="true" applyBorder="true" applyAlignment="true" applyProtection="false">
      <alignment horizontal="center" vertical="center" textRotation="0" wrapText="true" indent="0" shrinkToFit="false"/>
      <protection locked="true" hidden="false"/>
    </xf>
    <xf numFmtId="164" fontId="28" fillId="0" borderId="2"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xf numFmtId="164" fontId="10" fillId="9" borderId="0" xfId="0" applyFont="true" applyBorder="true" applyAlignment="true" applyProtection="false">
      <alignment horizontal="general" vertical="center" textRotation="0" wrapText="false" indent="1" shrinkToFit="false"/>
      <protection locked="true" hidden="false"/>
    </xf>
    <xf numFmtId="164" fontId="32" fillId="8" borderId="3" xfId="0" applyFont="true" applyBorder="true" applyAlignment="true" applyProtection="false">
      <alignment horizontal="center" vertical="center" textRotation="0" wrapText="true" indent="0" shrinkToFit="false"/>
      <protection locked="true" hidden="false"/>
    </xf>
    <xf numFmtId="164" fontId="33" fillId="9" borderId="3"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22" fillId="8" borderId="1" xfId="0" applyFont="true" applyBorder="true" applyAlignment="true" applyProtection="false">
      <alignment horizontal="left" vertical="top" textRotation="0" wrapText="true" indent="0" shrinkToFit="false"/>
      <protection locked="true" hidden="false"/>
    </xf>
    <xf numFmtId="164" fontId="12" fillId="4"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B0011"/>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4F81BD"/>
      <rgbColor rgb="FF33CCCC"/>
      <rgbColor rgb="FF99CC00"/>
      <rgbColor rgb="FFFFCC00"/>
      <rgbColor rgb="FFFF9900"/>
      <rgbColor rgb="FFFF6600"/>
      <rgbColor rgb="FF595959"/>
      <rgbColor rgb="FF878787"/>
      <rgbColor rgb="FF003366"/>
      <rgbColor rgb="FF339966"/>
      <rgbColor rgb="FF003300"/>
      <rgbColor rgb="FF375623"/>
      <rgbColor rgb="FF833C00"/>
      <rgbColor rgb="FF993366"/>
      <rgbColor rgb="FF1F4E78"/>
      <rgbColor rgb="FF2F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Naïve vs honest recall — the ruler, not the model</a:t>
            </a:r>
          </a:p>
        </c:rich>
      </c:tx>
      <c:overlay val="0"/>
      <c:spPr>
        <a:noFill/>
        <a:ln w="0">
          <a:noFill/>
        </a:ln>
      </c:spPr>
    </c:title>
    <c:autoTitleDeleted val="0"/>
    <c:plotArea>
      <c:barChart>
        <c:barDir val="col"/>
        <c:grouping val="clustered"/>
        <c:varyColors val="0"/>
        <c:ser>
          <c:idx val="0"/>
          <c:order val="0"/>
          <c:tx>
            <c:strRef>
              <c:f>'1. Executive Summary'!E7</c:f>
              <c:strCache>
                <c:ptCount val="1"/>
                <c:pt idx="0">
                  <c:v>Naïve recall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Executive Summary'!$B$8:$B$12</c:f>
              <c:strCache>
                <c:ptCount val="5"/>
                <c:pt idx="0">
                  <c:v>Alert → RGL / RSM</c:v>
                </c:pt>
                <c:pt idx="1">
                  <c:v>Alert → ROB (Obligation)</c:v>
                </c:pt>
                <c:pt idx="2">
                  <c:v>Alert → Control (1C)</c:v>
                </c:pt>
                <c:pt idx="3">
                  <c:v>Alert → Library Control (L1C)</c:v>
                </c:pt>
                <c:pt idx="4">
                  <c:v>Alert → Library Risk (LR)</c:v>
                </c:pt>
              </c:strCache>
            </c:strRef>
          </c:cat>
          <c:val>
            <c:numRef>
              <c:f>'1. Executive Summary'!$E$8:$E$12</c:f>
              <c:numCache>
                <c:formatCode>0%</c:formatCode>
                <c:ptCount val="5"/>
                <c:pt idx="0">
                  <c:v>0.92</c:v>
                </c:pt>
                <c:pt idx="1">
                  <c:v>0.95</c:v>
                </c:pt>
                <c:pt idx="2">
                  <c:v>0.351</c:v>
                </c:pt>
                <c:pt idx="3">
                  <c:v>0.362</c:v>
                </c:pt>
                <c:pt idx="4">
                  <c:v>0.23</c:v>
                </c:pt>
              </c:numCache>
            </c:numRef>
          </c:val>
        </c:ser>
        <c:ser>
          <c:idx val="1"/>
          <c:order val="1"/>
          <c:tx>
            <c:strRef>
              <c:f>'1. Executive Summary'!F7</c:f>
              <c:strCache>
                <c:ptCount val="1"/>
                <c:pt idx="0">
                  <c:v>Honest recall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Executive Summary'!$B$8:$B$12</c:f>
              <c:strCache>
                <c:ptCount val="5"/>
                <c:pt idx="0">
                  <c:v>Alert → RGL / RSM</c:v>
                </c:pt>
                <c:pt idx="1">
                  <c:v>Alert → ROB (Obligation)</c:v>
                </c:pt>
                <c:pt idx="2">
                  <c:v>Alert → Control (1C)</c:v>
                </c:pt>
                <c:pt idx="3">
                  <c:v>Alert → Library Control (L1C)</c:v>
                </c:pt>
                <c:pt idx="4">
                  <c:v>Alert → Library Risk (LR)</c:v>
                </c:pt>
              </c:strCache>
            </c:strRef>
          </c:cat>
          <c:val>
            <c:numRef>
              <c:f>'1. Executive Summary'!$F$8:$F$12</c:f>
              <c:numCache>
                <c:formatCode>0%</c:formatCode>
                <c:ptCount val="5"/>
                <c:pt idx="0">
                  <c:v>0.92</c:v>
                </c:pt>
                <c:pt idx="1">
                  <c:v>0.95</c:v>
                </c:pt>
                <c:pt idx="2">
                  <c:v>0.947</c:v>
                </c:pt>
                <c:pt idx="3">
                  <c:v>0.955</c:v>
                </c:pt>
                <c:pt idx="4">
                  <c:v>0.93</c:v>
                </c:pt>
              </c:numCache>
            </c:numRef>
          </c:val>
        </c:ser>
        <c:gapWidth val="150"/>
        <c:overlap val="0"/>
        <c:axId val="41914354"/>
        <c:axId val="62054489"/>
      </c:barChart>
      <c:catAx>
        <c:axId val="419143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054489"/>
        <c:crosses val="autoZero"/>
        <c:auto val="1"/>
        <c:lblAlgn val="ctr"/>
        <c:lblOffset val="100"/>
        <c:noMultiLvlLbl val="0"/>
      </c:catAx>
      <c:valAx>
        <c:axId val="6205448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143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Recall ladder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Alert to Control 1C'!$B$18:$B$20</c:f>
              <c:strCache>
                <c:ptCount val="3"/>
                <c:pt idx="0">
                  <c:v>Naïve (addressable)</c:v>
                </c:pt>
                <c:pt idx="1">
                  <c:v>Text-derivable</c:v>
                </c:pt>
                <c:pt idx="2">
                  <c:v>Model-addressable</c:v>
                </c:pt>
              </c:strCache>
            </c:strRef>
          </c:cat>
          <c:val>
            <c:numRef>
              <c:f>'6. Alert to Control 1C'!$E$18:$E$20</c:f>
              <c:numCache>
                <c:formatCode>0.0%</c:formatCode>
                <c:ptCount val="3"/>
                <c:pt idx="0">
                  <c:v>0.351216607112472</c:v>
                </c:pt>
                <c:pt idx="1">
                  <c:v>0.88747957691977</c:v>
                </c:pt>
                <c:pt idx="2">
                  <c:v>0.94700862543586</c:v>
                </c:pt>
              </c:numCache>
            </c:numRef>
          </c:val>
        </c:ser>
        <c:gapWidth val="150"/>
        <c:overlap val="0"/>
        <c:axId val="20782345"/>
        <c:axId val="19424351"/>
      </c:barChart>
      <c:catAx>
        <c:axId val="207823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424351"/>
        <c:crosses val="autoZero"/>
        <c:auto val="1"/>
        <c:lblAlgn val="ctr"/>
        <c:lblOffset val="100"/>
        <c:noMultiLvlLbl val="0"/>
      </c:catAx>
      <c:valAx>
        <c:axId val="1942435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823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Recall ladder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Alert to Library Control L1C'!$B$18:$B$20</c:f>
              <c:strCache>
                <c:ptCount val="3"/>
                <c:pt idx="0">
                  <c:v>Naïve (addressable)</c:v>
                </c:pt>
                <c:pt idx="1">
                  <c:v>Text-derivable</c:v>
                </c:pt>
                <c:pt idx="2">
                  <c:v>Model-addressable</c:v>
                </c:pt>
              </c:strCache>
            </c:strRef>
          </c:cat>
          <c:val>
            <c:numRef>
              <c:f>'7. Alert to Library Control L1C'!$E$18:$E$20</c:f>
              <c:numCache>
                <c:formatCode>0.0%</c:formatCode>
                <c:ptCount val="3"/>
                <c:pt idx="0">
                  <c:v>0.362199312714777</c:v>
                </c:pt>
                <c:pt idx="1">
                  <c:v>0.903428571428572</c:v>
                </c:pt>
                <c:pt idx="2">
                  <c:v>0.954710144927536</c:v>
                </c:pt>
              </c:numCache>
            </c:numRef>
          </c:val>
        </c:ser>
        <c:gapWidth val="150"/>
        <c:overlap val="0"/>
        <c:axId val="44729568"/>
        <c:axId val="34179919"/>
      </c:barChart>
      <c:catAx>
        <c:axId val="447295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79919"/>
        <c:crosses val="autoZero"/>
        <c:auto val="1"/>
        <c:lblAlgn val="ctr"/>
        <c:lblOffset val="100"/>
        <c:noMultiLvlLbl val="0"/>
      </c:catAx>
      <c:valAx>
        <c:axId val="3417991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295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Recall ladder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'8. Alert to Library Risk'!$B$18:$B$20</c:f>
              <c:strCache>
                <c:ptCount val="3"/>
                <c:pt idx="0">
                  <c:v>Naïve (addressable)</c:v>
                </c:pt>
                <c:pt idx="1">
                  <c:v>Text-derivable</c:v>
                </c:pt>
                <c:pt idx="2">
                  <c:v>Model-addressable</c:v>
                </c:pt>
              </c:strCache>
            </c:strRef>
          </c:cat>
          <c:val>
            <c:numRef>
              <c:f>'8. Alert to Library Risk'!$E$18:$E$20</c:f>
              <c:numCache>
                <c:formatCode>0.0%</c:formatCode>
                <c:ptCount val="3"/>
                <c:pt idx="0">
                  <c:v>0.230418943533698</c:v>
                </c:pt>
                <c:pt idx="1">
                  <c:v>0.930147058823529</c:v>
                </c:pt>
                <c:pt idx="2">
                  <c:v>0.930147058823529</c:v>
                </c:pt>
              </c:numCache>
            </c:numRef>
          </c:val>
        </c:ser>
        <c:gapWidth val="150"/>
        <c:overlap val="0"/>
        <c:axId val="33635576"/>
        <c:axId val="3080809"/>
      </c:barChart>
      <c:catAx>
        <c:axId val="336355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0809"/>
        <c:crosses val="autoZero"/>
        <c:auto val="1"/>
        <c:lblAlgn val="ctr"/>
        <c:lblOffset val="100"/>
        <c:noMultiLvlLbl val="0"/>
      </c:catAx>
      <c:valAx>
        <c:axId val="308080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6355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8</xdr:col>
      <xdr:colOff>10080</xdr:colOff>
      <xdr:row>28</xdr:row>
      <xdr:rowOff>32760</xdr:rowOff>
    </xdr:to>
    <xdr:graphicFrame>
      <xdr:nvGraphicFramePr>
        <xdr:cNvPr id="0" name="Chart 1"/>
        <xdr:cNvGraphicFramePr/>
      </xdr:nvGraphicFramePr>
      <xdr:xfrm>
        <a:off x="211320" y="4229280"/>
        <a:ext cx="71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0</xdr:rowOff>
    </xdr:from>
    <xdr:to>
      <xdr:col>2</xdr:col>
      <xdr:colOff>2126880</xdr:colOff>
      <xdr:row>32</xdr:row>
      <xdr:rowOff>64080</xdr:rowOff>
    </xdr:to>
    <xdr:graphicFrame>
      <xdr:nvGraphicFramePr>
        <xdr:cNvPr id="1" name="Chart 1"/>
        <xdr:cNvGraphicFramePr/>
      </xdr:nvGraphicFramePr>
      <xdr:xfrm>
        <a:off x="211320" y="5857920"/>
        <a:ext cx="395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0</xdr:rowOff>
    </xdr:from>
    <xdr:to>
      <xdr:col>2</xdr:col>
      <xdr:colOff>2126880</xdr:colOff>
      <xdr:row>32</xdr:row>
      <xdr:rowOff>64080</xdr:rowOff>
    </xdr:to>
    <xdr:graphicFrame>
      <xdr:nvGraphicFramePr>
        <xdr:cNvPr id="2" name="Chart 1"/>
        <xdr:cNvGraphicFramePr/>
      </xdr:nvGraphicFramePr>
      <xdr:xfrm>
        <a:off x="211320" y="5857920"/>
        <a:ext cx="395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0</xdr:rowOff>
    </xdr:from>
    <xdr:to>
      <xdr:col>2</xdr:col>
      <xdr:colOff>2126880</xdr:colOff>
      <xdr:row>32</xdr:row>
      <xdr:rowOff>64080</xdr:rowOff>
    </xdr:to>
    <xdr:graphicFrame>
      <xdr:nvGraphicFramePr>
        <xdr:cNvPr id="3" name="Chart 1"/>
        <xdr:cNvGraphicFramePr/>
      </xdr:nvGraphicFramePr>
      <xdr:xfrm>
        <a:off x="211320" y="5857920"/>
        <a:ext cx="395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4"/>
    <col collapsed="false" customWidth="true" hidden="false" outlineLevel="0" max="6" min="4" style="0" width="12"/>
    <col collapsed="false" customWidth="true" hidden="false" outlineLevel="0" max="7" min="7" style="0" width="13"/>
    <col collapsed="false" customWidth="true" hidden="false" outlineLevel="0" max="9" min="8" style="0" width="15"/>
  </cols>
  <sheetData>
    <row r="1" customFormat="false" ht="30"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4" customFormat="false" ht="42" hidden="false" customHeight="true" outlineLevel="0" collapsed="false">
      <c r="B4" s="3" t="s">
        <v>2</v>
      </c>
      <c r="C4" s="3"/>
      <c r="D4" s="3"/>
      <c r="E4" s="3"/>
      <c r="F4" s="3"/>
      <c r="G4" s="3"/>
      <c r="H4" s="3"/>
      <c r="I4" s="3"/>
    </row>
    <row r="6" customFormat="false" ht="21.75" hidden="false" customHeight="true" outlineLevel="0" collapsed="false">
      <c r="A6" s="4" t="s">
        <v>3</v>
      </c>
      <c r="B6" s="4"/>
      <c r="C6" s="4"/>
      <c r="D6" s="4"/>
      <c r="E6" s="4"/>
      <c r="F6" s="4"/>
      <c r="G6" s="4"/>
      <c r="H6" s="4"/>
      <c r="I6" s="4"/>
    </row>
    <row r="7" customFormat="false" ht="15" hidden="false" customHeight="false" outlineLevel="0" collapsed="false">
      <c r="B7" s="5" t="s">
        <v>4</v>
      </c>
      <c r="C7" s="5" t="s">
        <v>5</v>
      </c>
      <c r="D7" s="5" t="s">
        <v>6</v>
      </c>
      <c r="E7" s="5" t="s">
        <v>7</v>
      </c>
      <c r="F7" s="5" t="s">
        <v>8</v>
      </c>
      <c r="G7" s="5" t="s">
        <v>9</v>
      </c>
      <c r="H7" s="5" t="s">
        <v>10</v>
      </c>
    </row>
    <row r="8" customFormat="false" ht="25.5" hidden="false" customHeight="true" outlineLevel="0" collapsed="false">
      <c r="B8" s="6" t="s">
        <v>11</v>
      </c>
      <c r="C8" s="7" t="s">
        <v>12</v>
      </c>
      <c r="D8" s="8" t="s">
        <v>13</v>
      </c>
      <c r="E8" s="9" t="n">
        <v>0.92</v>
      </c>
      <c r="F8" s="10" t="n">
        <v>0.92</v>
      </c>
      <c r="G8" s="11" t="n">
        <v>0.16</v>
      </c>
      <c r="H8" s="12" t="s">
        <v>14</v>
      </c>
      <c r="I8" s="12"/>
    </row>
    <row r="9" customFormat="false" ht="25.5" hidden="false" customHeight="true" outlineLevel="0" collapsed="false">
      <c r="B9" s="6" t="s">
        <v>15</v>
      </c>
      <c r="C9" s="7" t="s">
        <v>16</v>
      </c>
      <c r="D9" s="8" t="s">
        <v>17</v>
      </c>
      <c r="E9" s="9" t="n">
        <v>0.95</v>
      </c>
      <c r="F9" s="10" t="n">
        <v>0.95</v>
      </c>
      <c r="G9" s="11" t="n">
        <v>0.01</v>
      </c>
      <c r="H9" s="12" t="s">
        <v>18</v>
      </c>
      <c r="I9" s="12"/>
    </row>
    <row r="10" customFormat="false" ht="25.5" hidden="false" customHeight="true" outlineLevel="0" collapsed="false">
      <c r="B10" s="6" t="s">
        <v>19</v>
      </c>
      <c r="C10" s="7" t="s">
        <v>20</v>
      </c>
      <c r="D10" s="13" t="s">
        <v>21</v>
      </c>
      <c r="E10" s="9" t="n">
        <v>0.351</v>
      </c>
      <c r="F10" s="10" t="n">
        <v>0.947</v>
      </c>
      <c r="G10" s="7" t="s">
        <v>22</v>
      </c>
      <c r="H10" s="12" t="s">
        <v>23</v>
      </c>
      <c r="I10" s="12"/>
    </row>
    <row r="11" customFormat="false" ht="25.5" hidden="false" customHeight="true" outlineLevel="0" collapsed="false">
      <c r="B11" s="6" t="s">
        <v>24</v>
      </c>
      <c r="C11" s="7" t="s">
        <v>20</v>
      </c>
      <c r="D11" s="13" t="s">
        <v>21</v>
      </c>
      <c r="E11" s="9" t="n">
        <v>0.362</v>
      </c>
      <c r="F11" s="10" t="n">
        <v>0.955</v>
      </c>
      <c r="G11" s="7" t="s">
        <v>22</v>
      </c>
      <c r="H11" s="12" t="s">
        <v>25</v>
      </c>
      <c r="I11" s="12"/>
    </row>
    <row r="12" customFormat="false" ht="25.5" hidden="false" customHeight="true" outlineLevel="0" collapsed="false">
      <c r="B12" s="6" t="s">
        <v>26</v>
      </c>
      <c r="C12" s="7" t="s">
        <v>27</v>
      </c>
      <c r="D12" s="13" t="s">
        <v>28</v>
      </c>
      <c r="E12" s="9" t="n">
        <v>0.23</v>
      </c>
      <c r="F12" s="10" t="n">
        <v>0.93</v>
      </c>
      <c r="G12" s="11" t="n">
        <v>0.605</v>
      </c>
      <c r="H12" s="12" t="s">
        <v>29</v>
      </c>
      <c r="I12" s="12"/>
    </row>
    <row r="13" customFormat="false" ht="33.75" hidden="false" customHeight="true" outlineLevel="0" collapsed="false">
      <c r="B13" s="14" t="s">
        <v>30</v>
      </c>
      <c r="C13" s="14"/>
      <c r="D13" s="14"/>
      <c r="E13" s="14"/>
      <c r="F13" s="14"/>
      <c r="G13" s="14"/>
      <c r="H13" s="14"/>
      <c r="I13" s="14"/>
    </row>
    <row r="30" customFormat="false" ht="21.75" hidden="false" customHeight="true" outlineLevel="0" collapsed="false">
      <c r="A30" s="4" t="s">
        <v>31</v>
      </c>
      <c r="B30" s="4"/>
      <c r="C30" s="4"/>
      <c r="D30" s="4"/>
      <c r="E30" s="4"/>
      <c r="F30" s="4"/>
      <c r="G30" s="4"/>
      <c r="H30" s="4"/>
      <c r="I30" s="4"/>
    </row>
    <row r="31" customFormat="false" ht="39.75" hidden="false" customHeight="true" outlineLevel="0" collapsed="false">
      <c r="B31" s="15" t="s">
        <v>32</v>
      </c>
      <c r="C31" s="16" t="s">
        <v>33</v>
      </c>
      <c r="D31" s="16"/>
      <c r="E31" s="16"/>
      <c r="F31" s="16"/>
      <c r="G31" s="16"/>
      <c r="H31" s="16"/>
      <c r="I31" s="16"/>
    </row>
    <row r="32" customFormat="false" ht="39.75" hidden="false" customHeight="true" outlineLevel="0" collapsed="false">
      <c r="B32" s="17" t="s">
        <v>34</v>
      </c>
      <c r="C32" s="16" t="s">
        <v>35</v>
      </c>
      <c r="D32" s="16"/>
      <c r="E32" s="16"/>
      <c r="F32" s="16"/>
      <c r="G32" s="16"/>
      <c r="H32" s="16"/>
      <c r="I32" s="16"/>
    </row>
    <row r="33" customFormat="false" ht="39.75" hidden="false" customHeight="true" outlineLevel="0" collapsed="false">
      <c r="B33" s="18" t="s">
        <v>36</v>
      </c>
      <c r="C33" s="16" t="s">
        <v>37</v>
      </c>
      <c r="D33" s="16"/>
      <c r="E33" s="16"/>
      <c r="F33" s="16"/>
      <c r="G33" s="16"/>
      <c r="H33" s="16"/>
      <c r="I33" s="16"/>
    </row>
    <row r="35" customFormat="false" ht="21.75" hidden="false" customHeight="true" outlineLevel="0" collapsed="false">
      <c r="A35" s="4" t="s">
        <v>38</v>
      </c>
      <c r="B35" s="4"/>
      <c r="C35" s="4"/>
      <c r="D35" s="4"/>
      <c r="E35" s="4"/>
      <c r="F35" s="4"/>
      <c r="G35" s="4"/>
      <c r="H35" s="4"/>
      <c r="I35" s="4"/>
    </row>
    <row r="36" customFormat="false" ht="30" hidden="false" customHeight="true" outlineLevel="0" collapsed="false">
      <c r="B36" s="19" t="s">
        <v>39</v>
      </c>
      <c r="C36" s="20" t="s">
        <v>40</v>
      </c>
      <c r="D36" s="20"/>
      <c r="E36" s="20"/>
      <c r="F36" s="20"/>
      <c r="G36" s="20"/>
      <c r="H36" s="20"/>
      <c r="I36" s="20"/>
    </row>
    <row r="37" customFormat="false" ht="30" hidden="false" customHeight="true" outlineLevel="0" collapsed="false">
      <c r="B37" s="19" t="s">
        <v>41</v>
      </c>
      <c r="C37" s="20" t="s">
        <v>42</v>
      </c>
      <c r="D37" s="20"/>
      <c r="E37" s="20"/>
      <c r="F37" s="20"/>
      <c r="G37" s="20"/>
      <c r="H37" s="20"/>
      <c r="I37" s="20"/>
    </row>
    <row r="38" customFormat="false" ht="30" hidden="false" customHeight="true" outlineLevel="0" collapsed="false">
      <c r="B38" s="19" t="s">
        <v>43</v>
      </c>
      <c r="C38" s="20" t="s">
        <v>44</v>
      </c>
      <c r="D38" s="20"/>
      <c r="E38" s="20"/>
      <c r="F38" s="20"/>
      <c r="G38" s="20"/>
      <c r="H38" s="20"/>
      <c r="I38" s="20"/>
    </row>
  </sheetData>
  <mergeCells count="18">
    <mergeCell ref="A1:I1"/>
    <mergeCell ref="A2:I2"/>
    <mergeCell ref="B4:I4"/>
    <mergeCell ref="A6:I6"/>
    <mergeCell ref="H8:I8"/>
    <mergeCell ref="H9:I9"/>
    <mergeCell ref="H10:I10"/>
    <mergeCell ref="H11:I11"/>
    <mergeCell ref="H12:I12"/>
    <mergeCell ref="B13:I13"/>
    <mergeCell ref="A30:I30"/>
    <mergeCell ref="C31:I31"/>
    <mergeCell ref="C32:I32"/>
    <mergeCell ref="C33:I33"/>
    <mergeCell ref="A35:I35"/>
    <mergeCell ref="C36:I36"/>
    <mergeCell ref="C37:I37"/>
    <mergeCell ref="C38:I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6"/>
    <col collapsed="false" customWidth="true" hidden="false" outlineLevel="0" max="9" min="8" style="0" width="14"/>
  </cols>
  <sheetData>
    <row r="1" customFormat="false" ht="30" hidden="false" customHeight="true" outlineLevel="0" collapsed="false">
      <c r="A1" s="1" t="s">
        <v>45</v>
      </c>
      <c r="B1" s="1"/>
      <c r="C1" s="1"/>
      <c r="D1" s="1"/>
      <c r="E1" s="1"/>
      <c r="F1" s="1"/>
      <c r="G1" s="1"/>
      <c r="H1" s="1"/>
      <c r="I1" s="1"/>
    </row>
    <row r="2" customFormat="false" ht="18" hidden="false" customHeight="true" outlineLevel="0" collapsed="false">
      <c r="A2" s="2" t="s">
        <v>46</v>
      </c>
      <c r="B2" s="2"/>
      <c r="C2" s="2"/>
      <c r="D2" s="2"/>
      <c r="E2" s="2"/>
      <c r="F2" s="2"/>
      <c r="G2" s="2"/>
      <c r="H2" s="2"/>
      <c r="I2" s="2"/>
    </row>
    <row r="4" customFormat="false" ht="21.75" hidden="false" customHeight="true" outlineLevel="0" collapsed="false">
      <c r="A4" s="4" t="s">
        <v>47</v>
      </c>
      <c r="B4" s="4"/>
      <c r="C4" s="4"/>
      <c r="D4" s="4"/>
      <c r="E4" s="4"/>
      <c r="F4" s="4"/>
      <c r="G4" s="4"/>
      <c r="H4" s="4"/>
      <c r="I4" s="4"/>
    </row>
    <row r="5" customFormat="false" ht="21.75" hidden="false" customHeight="true" outlineLevel="0" collapsed="false">
      <c r="B5" s="21" t="s">
        <v>48</v>
      </c>
      <c r="C5" s="22" t="s">
        <v>49</v>
      </c>
      <c r="D5" s="21" t="s">
        <v>50</v>
      </c>
      <c r="E5" s="22" t="s">
        <v>49</v>
      </c>
      <c r="F5" s="21" t="s">
        <v>51</v>
      </c>
      <c r="G5" s="22" t="s">
        <v>49</v>
      </c>
      <c r="H5" s="21" t="s">
        <v>52</v>
      </c>
      <c r="I5" s="22" t="s">
        <v>49</v>
      </c>
      <c r="J5" s="21" t="s">
        <v>53</v>
      </c>
    </row>
    <row r="6" customFormat="false" ht="19.4" hidden="false" customHeight="false" outlineLevel="0" collapsed="false">
      <c r="B6" s="23" t="s">
        <v>54</v>
      </c>
      <c r="C6" s="24" t="s">
        <v>55</v>
      </c>
      <c r="D6" s="23" t="s">
        <v>56</v>
      </c>
      <c r="E6" s="24" t="s">
        <v>55</v>
      </c>
      <c r="F6" s="23" t="s">
        <v>57</v>
      </c>
      <c r="G6" s="24" t="s">
        <v>58</v>
      </c>
      <c r="H6" s="23" t="s">
        <v>59</v>
      </c>
      <c r="I6" s="24" t="s">
        <v>55</v>
      </c>
      <c r="J6" s="23" t="s">
        <v>60</v>
      </c>
    </row>
    <row r="8" customFormat="false" ht="33.75" hidden="false" customHeight="true" outlineLevel="0" collapsed="false">
      <c r="B8" s="25" t="s">
        <v>61</v>
      </c>
      <c r="C8" s="25"/>
      <c r="D8" s="25"/>
      <c r="E8" s="25"/>
      <c r="F8" s="25"/>
      <c r="G8" s="25"/>
      <c r="H8" s="25"/>
      <c r="I8" s="25"/>
    </row>
    <row r="11" customFormat="false" ht="21.75" hidden="false" customHeight="true" outlineLevel="0" collapsed="false">
      <c r="A11" s="4" t="s">
        <v>62</v>
      </c>
      <c r="B11" s="4"/>
      <c r="C11" s="4"/>
      <c r="D11" s="4"/>
      <c r="E11" s="4"/>
      <c r="F11" s="4"/>
      <c r="G11" s="4"/>
      <c r="H11" s="4"/>
      <c r="I11" s="4"/>
    </row>
    <row r="12" customFormat="false" ht="48" hidden="false" customHeight="true" outlineLevel="0" collapsed="false">
      <c r="B12" s="26" t="s">
        <v>63</v>
      </c>
      <c r="C12" s="16" t="s">
        <v>64</v>
      </c>
      <c r="D12" s="16"/>
      <c r="E12" s="16"/>
      <c r="F12" s="16"/>
      <c r="G12" s="16"/>
      <c r="H12" s="16"/>
      <c r="I12" s="16"/>
    </row>
    <row r="13" customFormat="false" ht="48" hidden="false" customHeight="true" outlineLevel="0" collapsed="false">
      <c r="B13" s="26" t="s">
        <v>65</v>
      </c>
      <c r="C13" s="16" t="s">
        <v>66</v>
      </c>
      <c r="D13" s="16"/>
      <c r="E13" s="16"/>
      <c r="F13" s="16"/>
      <c r="G13" s="16"/>
      <c r="H13" s="16"/>
      <c r="I13" s="16"/>
    </row>
    <row r="15" customFormat="false" ht="21.75" hidden="false" customHeight="true" outlineLevel="0" collapsed="false">
      <c r="A15" s="4" t="s">
        <v>67</v>
      </c>
      <c r="B15" s="4"/>
      <c r="C15" s="4"/>
      <c r="D15" s="4"/>
      <c r="E15" s="4"/>
      <c r="F15" s="4"/>
      <c r="G15" s="4"/>
      <c r="H15" s="4"/>
      <c r="I15" s="4"/>
    </row>
    <row r="16" customFormat="false" ht="15" hidden="false" customHeight="false" outlineLevel="0" collapsed="false">
      <c r="B16" s="6" t="s">
        <v>68</v>
      </c>
      <c r="C16" s="27" t="s">
        <v>69</v>
      </c>
      <c r="D16" s="27"/>
      <c r="E16" s="27"/>
    </row>
    <row r="17" customFormat="false" ht="23.85" hidden="false" customHeight="false" outlineLevel="0" collapsed="false">
      <c r="B17" s="6" t="s">
        <v>70</v>
      </c>
      <c r="C17" s="28" t="s">
        <v>71</v>
      </c>
      <c r="D17" s="28"/>
      <c r="E17" s="28"/>
    </row>
    <row r="18" customFormat="false" ht="23.85" hidden="false" customHeight="false" outlineLevel="0" collapsed="false">
      <c r="B18" s="6" t="s">
        <v>72</v>
      </c>
      <c r="C18" s="28" t="s">
        <v>73</v>
      </c>
      <c r="D18" s="28"/>
      <c r="E18" s="28"/>
    </row>
    <row r="19" customFormat="false" ht="23.85" hidden="false" customHeight="false" outlineLevel="0" collapsed="false">
      <c r="B19" s="6" t="s">
        <v>74</v>
      </c>
      <c r="C19" s="28" t="s">
        <v>75</v>
      </c>
      <c r="D19" s="28"/>
      <c r="E19" s="28"/>
    </row>
    <row r="20" customFormat="false" ht="15" hidden="false" customHeight="false" outlineLevel="0" collapsed="false">
      <c r="B20" s="6" t="s">
        <v>76</v>
      </c>
      <c r="C20" s="27" t="s">
        <v>77</v>
      </c>
      <c r="D20" s="27"/>
      <c r="E20" s="27"/>
    </row>
    <row r="21" customFormat="false" ht="33.75" hidden="false" customHeight="true" outlineLevel="0" collapsed="false">
      <c r="B21" s="29" t="s">
        <v>78</v>
      </c>
      <c r="C21" s="29"/>
      <c r="D21" s="29"/>
      <c r="E21" s="29"/>
      <c r="F21" s="29"/>
      <c r="G21" s="29"/>
      <c r="H21" s="29"/>
      <c r="I21" s="29"/>
    </row>
  </sheetData>
  <mergeCells count="14">
    <mergeCell ref="A1:I1"/>
    <mergeCell ref="A2:I2"/>
    <mergeCell ref="A4:I4"/>
    <mergeCell ref="B8:I8"/>
    <mergeCell ref="A11:I11"/>
    <mergeCell ref="C12:I12"/>
    <mergeCell ref="C13:I13"/>
    <mergeCell ref="A15:I15"/>
    <mergeCell ref="C16:E16"/>
    <mergeCell ref="C17:E17"/>
    <mergeCell ref="C18:E18"/>
    <mergeCell ref="C19:E19"/>
    <mergeCell ref="C20:E20"/>
    <mergeCell ref="B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50"/>
    <col collapsed="false" customWidth="true" hidden="false" outlineLevel="0" max="6" min="4" style="0" width="16"/>
    <col collapsed="false" customWidth="true" hidden="false" outlineLevel="0" max="7" min="7" style="0" width="14"/>
  </cols>
  <sheetData>
    <row r="1" customFormat="false" ht="30" hidden="false" customHeight="true" outlineLevel="0" collapsed="false">
      <c r="A1" s="1" t="s">
        <v>79</v>
      </c>
      <c r="B1" s="1"/>
      <c r="C1" s="1"/>
      <c r="D1" s="1"/>
      <c r="E1" s="1"/>
      <c r="F1" s="1"/>
      <c r="G1" s="1"/>
    </row>
    <row r="2" customFormat="false" ht="18" hidden="false" customHeight="true" outlineLevel="0" collapsed="false">
      <c r="A2" s="2" t="s">
        <v>80</v>
      </c>
      <c r="B2" s="2"/>
      <c r="C2" s="2"/>
      <c r="D2" s="2"/>
      <c r="E2" s="2"/>
      <c r="F2" s="2"/>
      <c r="G2" s="2"/>
    </row>
    <row r="4" customFormat="false" ht="21.75" hidden="false" customHeight="true" outlineLevel="0" collapsed="false">
      <c r="A4" s="4" t="s">
        <v>81</v>
      </c>
      <c r="B4" s="4"/>
      <c r="C4" s="4"/>
      <c r="D4" s="4"/>
      <c r="E4" s="4"/>
      <c r="F4" s="4"/>
      <c r="G4" s="4"/>
    </row>
    <row r="5" customFormat="false" ht="15" hidden="false" customHeight="false" outlineLevel="0" collapsed="false">
      <c r="B5" s="5" t="s">
        <v>82</v>
      </c>
      <c r="C5" s="5" t="s">
        <v>83</v>
      </c>
      <c r="D5" s="5" t="s">
        <v>84</v>
      </c>
    </row>
    <row r="6" customFormat="false" ht="33.75" hidden="false" customHeight="true" outlineLevel="0" collapsed="false">
      <c r="B6" s="30" t="s">
        <v>85</v>
      </c>
      <c r="C6" s="12" t="s">
        <v>86</v>
      </c>
      <c r="D6" s="31" t="s">
        <v>87</v>
      </c>
      <c r="E6" s="31"/>
    </row>
    <row r="7" customFormat="false" ht="33.75" hidden="false" customHeight="true" outlineLevel="0" collapsed="false">
      <c r="B7" s="30" t="s">
        <v>88</v>
      </c>
      <c r="C7" s="12" t="s">
        <v>89</v>
      </c>
      <c r="D7" s="32" t="s">
        <v>90</v>
      </c>
      <c r="E7" s="32"/>
    </row>
    <row r="8" customFormat="false" ht="33.75" hidden="false" customHeight="true" outlineLevel="0" collapsed="false">
      <c r="B8" s="30" t="s">
        <v>91</v>
      </c>
      <c r="C8" s="12" t="s">
        <v>92</v>
      </c>
      <c r="D8" s="32" t="s">
        <v>93</v>
      </c>
      <c r="E8" s="32"/>
    </row>
    <row r="10" customFormat="false" ht="21.75" hidden="false" customHeight="true" outlineLevel="0" collapsed="false">
      <c r="A10" s="4" t="s">
        <v>94</v>
      </c>
      <c r="B10" s="4"/>
      <c r="C10" s="4"/>
      <c r="D10" s="4"/>
      <c r="E10" s="4"/>
      <c r="F10" s="4"/>
      <c r="G10" s="4"/>
    </row>
    <row r="11" customFormat="false" ht="25.5" hidden="false" customHeight="true" outlineLevel="0" collapsed="false">
      <c r="B11" s="30" t="s">
        <v>95</v>
      </c>
      <c r="C11" s="16" t="s">
        <v>96</v>
      </c>
      <c r="D11" s="16"/>
      <c r="E11" s="16"/>
      <c r="F11" s="16"/>
      <c r="G11" s="16"/>
    </row>
    <row r="12" customFormat="false" ht="25.5" hidden="false" customHeight="true" outlineLevel="0" collapsed="false">
      <c r="B12" s="30" t="s">
        <v>97</v>
      </c>
      <c r="C12" s="16" t="s">
        <v>98</v>
      </c>
      <c r="D12" s="16"/>
      <c r="E12" s="16"/>
      <c r="F12" s="16"/>
      <c r="G12" s="16"/>
    </row>
    <row r="13" customFormat="false" ht="25.5" hidden="false" customHeight="true" outlineLevel="0" collapsed="false">
      <c r="B13" s="30" t="s">
        <v>99</v>
      </c>
      <c r="C13" s="16" t="s">
        <v>100</v>
      </c>
      <c r="D13" s="16"/>
      <c r="E13" s="16"/>
      <c r="F13" s="16"/>
      <c r="G13" s="16"/>
    </row>
    <row r="14" customFormat="false" ht="25.5" hidden="false" customHeight="true" outlineLevel="0" collapsed="false">
      <c r="B14" s="30" t="s">
        <v>101</v>
      </c>
      <c r="C14" s="16" t="s">
        <v>102</v>
      </c>
      <c r="D14" s="16"/>
      <c r="E14" s="16"/>
      <c r="F14" s="16"/>
      <c r="G14" s="16"/>
    </row>
    <row r="16" customFormat="false" ht="21.75" hidden="false" customHeight="true" outlineLevel="0" collapsed="false">
      <c r="A16" s="4" t="s">
        <v>103</v>
      </c>
      <c r="B16" s="4"/>
      <c r="C16" s="4"/>
      <c r="D16" s="4"/>
      <c r="E16" s="4"/>
      <c r="F16" s="4"/>
      <c r="G16" s="4"/>
    </row>
    <row r="17" customFormat="false" ht="30" hidden="false" customHeight="true" outlineLevel="0" collapsed="false">
      <c r="B17" s="33" t="s">
        <v>104</v>
      </c>
      <c r="C17" s="33"/>
      <c r="D17" s="33"/>
      <c r="E17" s="33"/>
      <c r="F17" s="33"/>
      <c r="G17" s="33"/>
    </row>
    <row r="18" customFormat="false" ht="15" hidden="false" customHeight="false" outlineLevel="0" collapsed="false">
      <c r="B18" s="33"/>
      <c r="C18" s="33"/>
      <c r="D18" s="33"/>
      <c r="E18" s="33"/>
      <c r="F18" s="33"/>
      <c r="G18" s="33"/>
    </row>
  </sheetData>
  <mergeCells count="13">
    <mergeCell ref="A1:G1"/>
    <mergeCell ref="A2:G2"/>
    <mergeCell ref="A4:G4"/>
    <mergeCell ref="D6:E6"/>
    <mergeCell ref="D7:E7"/>
    <mergeCell ref="D8:E8"/>
    <mergeCell ref="A10:G10"/>
    <mergeCell ref="C11:G11"/>
    <mergeCell ref="C12:G12"/>
    <mergeCell ref="C13:G13"/>
    <mergeCell ref="C14:G14"/>
    <mergeCell ref="A16:G16"/>
    <mergeCell ref="B17: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6" min="3" style="0" width="14"/>
    <col collapsed="false" customWidth="true" hidden="false" outlineLevel="0" max="7" min="7" style="0" width="16"/>
    <col collapsed="false" customWidth="true" hidden="false" outlineLevel="0" max="9" min="8" style="0" width="14"/>
  </cols>
  <sheetData>
    <row r="1" customFormat="false" ht="30" hidden="false" customHeight="true" outlineLevel="0" collapsed="false">
      <c r="A1" s="1" t="s">
        <v>105</v>
      </c>
      <c r="B1" s="1"/>
      <c r="C1" s="1"/>
      <c r="D1" s="1"/>
      <c r="E1" s="1"/>
      <c r="F1" s="1"/>
      <c r="G1" s="1"/>
      <c r="H1" s="1"/>
      <c r="I1" s="1"/>
    </row>
    <row r="2" customFormat="false" ht="18" hidden="false" customHeight="true" outlineLevel="0" collapsed="false">
      <c r="A2" s="2" t="s">
        <v>106</v>
      </c>
      <c r="B2" s="2"/>
      <c r="C2" s="2"/>
      <c r="D2" s="2"/>
      <c r="E2" s="2"/>
      <c r="F2" s="2"/>
      <c r="G2" s="2"/>
      <c r="H2" s="2"/>
      <c r="I2" s="2"/>
    </row>
    <row r="4" customFormat="false" ht="33.75" hidden="false" customHeight="true" outlineLevel="0" collapsed="false">
      <c r="B4" s="34" t="s">
        <v>107</v>
      </c>
      <c r="C4" s="34"/>
      <c r="D4" s="34"/>
      <c r="E4" s="34"/>
      <c r="F4" s="34"/>
      <c r="G4" s="34"/>
      <c r="H4" s="34"/>
      <c r="I4" s="34"/>
    </row>
    <row r="6" customFormat="false" ht="21.75" hidden="false" customHeight="true" outlineLevel="0" collapsed="false">
      <c r="A6" s="4" t="s">
        <v>108</v>
      </c>
      <c r="B6" s="4"/>
      <c r="C6" s="4"/>
      <c r="D6" s="4"/>
      <c r="E6" s="4"/>
      <c r="F6" s="4"/>
      <c r="G6" s="4"/>
      <c r="H6" s="4"/>
      <c r="I6" s="4"/>
    </row>
    <row r="7" customFormat="false" ht="22.35" hidden="false" customHeight="false" outlineLevel="0" collapsed="false">
      <c r="C7" s="35" t="s">
        <v>109</v>
      </c>
      <c r="D7" s="35" t="s">
        <v>110</v>
      </c>
      <c r="E7" s="35" t="s">
        <v>111</v>
      </c>
    </row>
    <row r="8" customFormat="false" ht="15" hidden="false" customHeight="false" outlineLevel="0" collapsed="false">
      <c r="B8" s="36" t="s">
        <v>112</v>
      </c>
      <c r="C8" s="37" t="n">
        <v>146</v>
      </c>
      <c r="D8" s="38" t="n">
        <v>754</v>
      </c>
      <c r="E8" s="39" t="n">
        <f aca="false">C8+D8</f>
        <v>900</v>
      </c>
    </row>
    <row r="9" customFormat="false" ht="15" hidden="false" customHeight="false" outlineLevel="0" collapsed="false">
      <c r="B9" s="36" t="s">
        <v>113</v>
      </c>
      <c r="C9" s="40" t="n">
        <v>12</v>
      </c>
      <c r="D9" s="41" t="n">
        <v>4051</v>
      </c>
      <c r="E9" s="39" t="n">
        <f aca="false">C9+D9</f>
        <v>4063</v>
      </c>
    </row>
    <row r="10" customFormat="false" ht="15" hidden="false" customHeight="false" outlineLevel="0" collapsed="false">
      <c r="B10" s="36" t="s">
        <v>114</v>
      </c>
      <c r="C10" s="39" t="n">
        <f aca="false">C8+C9</f>
        <v>158</v>
      </c>
      <c r="D10" s="39" t="n">
        <f aca="false">D8+D9</f>
        <v>4805</v>
      </c>
      <c r="E10" s="39" t="n">
        <f aca="false">E8+E9</f>
        <v>4963</v>
      </c>
    </row>
    <row r="12" customFormat="false" ht="21.75" hidden="false" customHeight="true" outlineLevel="0" collapsed="false">
      <c r="A12" s="4" t="s">
        <v>115</v>
      </c>
      <c r="B12" s="4"/>
      <c r="C12" s="4"/>
      <c r="D12" s="4"/>
      <c r="E12" s="4"/>
      <c r="F12" s="4"/>
      <c r="G12" s="4"/>
      <c r="H12" s="4"/>
      <c r="I12" s="4"/>
    </row>
    <row r="13" customFormat="false" ht="15" hidden="false" customHeight="false" outlineLevel="0" collapsed="false">
      <c r="B13" s="42" t="s">
        <v>116</v>
      </c>
      <c r="C13" s="43" t="s">
        <v>117</v>
      </c>
      <c r="D13" s="44" t="n">
        <f aca="false">IFERROR(C8/(C8+C9),0)</f>
        <v>0.924050632911392</v>
      </c>
    </row>
    <row r="14" customFormat="false" ht="15" hidden="false" customHeight="false" outlineLevel="0" collapsed="false">
      <c r="B14" s="45" t="s">
        <v>9</v>
      </c>
      <c r="C14" s="46" t="s">
        <v>118</v>
      </c>
      <c r="D14" s="47" t="n">
        <f aca="false">IFERROR(C8/(C8+D8),0)</f>
        <v>0.162222222222222</v>
      </c>
    </row>
    <row r="15" customFormat="false" ht="15" hidden="false" customHeight="false" outlineLevel="0" collapsed="false">
      <c r="B15" s="45" t="s">
        <v>119</v>
      </c>
      <c r="C15" s="46" t="s">
        <v>120</v>
      </c>
      <c r="D15" s="47" t="n">
        <f aca="false">IFERROR((C8+D9)/(C8+D8+C9+D9),0)</f>
        <v>0.845657868224864</v>
      </c>
    </row>
    <row r="16" customFormat="false" ht="21.75" hidden="false" customHeight="true" outlineLevel="0" collapsed="false">
      <c r="B16" s="48" t="s">
        <v>121</v>
      </c>
      <c r="C16" s="48"/>
      <c r="D16" s="48"/>
      <c r="E16" s="48"/>
      <c r="F16" s="48"/>
      <c r="G16" s="48"/>
      <c r="H16" s="48"/>
      <c r="I16" s="48"/>
    </row>
    <row r="17" customFormat="false" ht="15" hidden="false" customHeight="false" outlineLevel="0" collapsed="false">
      <c r="B17" s="48"/>
      <c r="C17" s="48"/>
      <c r="D17" s="48"/>
      <c r="E17" s="48"/>
      <c r="F17" s="48"/>
      <c r="G17" s="48"/>
      <c r="H17" s="48"/>
      <c r="I17" s="48"/>
    </row>
    <row r="19" customFormat="false" ht="21.75" hidden="false" customHeight="true" outlineLevel="0" collapsed="false">
      <c r="A19" s="4" t="s">
        <v>122</v>
      </c>
      <c r="B19" s="4"/>
      <c r="C19" s="4"/>
      <c r="D19" s="4"/>
      <c r="E19" s="4"/>
      <c r="F19" s="4"/>
      <c r="G19" s="4"/>
      <c r="H19" s="4"/>
      <c r="I19" s="4"/>
    </row>
    <row r="20" customFormat="false" ht="15" hidden="false" customHeight="false" outlineLevel="0" collapsed="false">
      <c r="B20" s="49" t="s">
        <v>123</v>
      </c>
      <c r="C20" s="50" t="s">
        <v>116</v>
      </c>
    </row>
    <row r="21" customFormat="false" ht="15" hidden="false" customHeight="false" outlineLevel="0" collapsed="false">
      <c r="B21" s="51" t="s">
        <v>124</v>
      </c>
      <c r="C21" s="11" t="n">
        <v>0.77</v>
      </c>
    </row>
    <row r="22" customFormat="false" ht="15" hidden="false" customHeight="false" outlineLevel="0" collapsed="false">
      <c r="B22" s="51" t="s">
        <v>125</v>
      </c>
      <c r="C22" s="11" t="n">
        <v>0.83</v>
      </c>
    </row>
    <row r="23" customFormat="false" ht="15" hidden="false" customHeight="false" outlineLevel="0" collapsed="false">
      <c r="B23" s="51" t="s">
        <v>126</v>
      </c>
      <c r="C23" s="11" t="n">
        <v>0.82</v>
      </c>
    </row>
    <row r="24" customFormat="false" ht="15" hidden="false" customHeight="false" outlineLevel="0" collapsed="false">
      <c r="B24" s="51" t="s">
        <v>127</v>
      </c>
      <c r="C24" s="11" t="n">
        <v>0.85</v>
      </c>
    </row>
    <row r="25" customFormat="false" ht="15" hidden="false" customHeight="false" outlineLevel="0" collapsed="false">
      <c r="B25" s="51" t="s">
        <v>128</v>
      </c>
      <c r="C25" s="11" t="n">
        <v>0.87</v>
      </c>
    </row>
    <row r="26" customFormat="false" ht="15" hidden="false" customHeight="false" outlineLevel="0" collapsed="false">
      <c r="B26" s="51" t="s">
        <v>129</v>
      </c>
      <c r="C26" s="11" t="n">
        <v>0.88</v>
      </c>
    </row>
    <row r="27" customFormat="false" ht="15" hidden="false" customHeight="false" outlineLevel="0" collapsed="false">
      <c r="B27" s="52" t="s">
        <v>130</v>
      </c>
      <c r="C27" s="53" t="n">
        <v>0.92</v>
      </c>
    </row>
  </sheetData>
  <mergeCells count="7">
    <mergeCell ref="A1:I1"/>
    <mergeCell ref="A2:I2"/>
    <mergeCell ref="B4:I4"/>
    <mergeCell ref="A6:I6"/>
    <mergeCell ref="A12:I12"/>
    <mergeCell ref="B16:I17"/>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6" min="3" style="0" width="14"/>
    <col collapsed="false" customWidth="true" hidden="false" outlineLevel="0" max="7" min="7" style="0" width="16"/>
    <col collapsed="false" customWidth="true" hidden="false" outlineLevel="0" max="9" min="8" style="0" width="14"/>
  </cols>
  <sheetData>
    <row r="1" customFormat="false" ht="30" hidden="false" customHeight="true" outlineLevel="0" collapsed="false">
      <c r="A1" s="1" t="s">
        <v>131</v>
      </c>
      <c r="B1" s="1"/>
      <c r="C1" s="1"/>
      <c r="D1" s="1"/>
      <c r="E1" s="1"/>
      <c r="F1" s="1"/>
      <c r="G1" s="1"/>
      <c r="H1" s="1"/>
      <c r="I1" s="1"/>
    </row>
    <row r="2" customFormat="false" ht="18" hidden="false" customHeight="true" outlineLevel="0" collapsed="false">
      <c r="A2" s="2" t="s">
        <v>132</v>
      </c>
      <c r="B2" s="2"/>
      <c r="C2" s="2"/>
      <c r="D2" s="2"/>
      <c r="E2" s="2"/>
      <c r="F2" s="2"/>
      <c r="G2" s="2"/>
      <c r="H2" s="2"/>
      <c r="I2" s="2"/>
    </row>
    <row r="4" customFormat="false" ht="33.75" hidden="false" customHeight="true" outlineLevel="0" collapsed="false">
      <c r="B4" s="54" t="s">
        <v>133</v>
      </c>
      <c r="C4" s="54"/>
      <c r="D4" s="54"/>
      <c r="E4" s="54"/>
      <c r="F4" s="54"/>
      <c r="G4" s="54"/>
      <c r="H4" s="54"/>
      <c r="I4" s="54"/>
    </row>
    <row r="6" customFormat="false" ht="21.75" hidden="false" customHeight="true" outlineLevel="0" collapsed="false">
      <c r="A6" s="4" t="s">
        <v>108</v>
      </c>
      <c r="B6" s="4"/>
      <c r="C6" s="4"/>
      <c r="D6" s="4"/>
      <c r="E6" s="4"/>
      <c r="F6" s="4"/>
      <c r="G6" s="4"/>
      <c r="H6" s="4"/>
      <c r="I6" s="4"/>
    </row>
    <row r="7" customFormat="false" ht="22.35" hidden="false" customHeight="false" outlineLevel="0" collapsed="false">
      <c r="C7" s="35" t="s">
        <v>109</v>
      </c>
      <c r="D7" s="35" t="s">
        <v>110</v>
      </c>
      <c r="E7" s="35" t="s">
        <v>111</v>
      </c>
    </row>
    <row r="8" customFormat="false" ht="15" hidden="false" customHeight="false" outlineLevel="0" collapsed="false">
      <c r="B8" s="36" t="s">
        <v>112</v>
      </c>
      <c r="C8" s="37" t="n">
        <v>35</v>
      </c>
      <c r="D8" s="38" t="n">
        <v>3774</v>
      </c>
      <c r="E8" s="39" t="n">
        <f aca="false">C8+D8</f>
        <v>3809</v>
      </c>
    </row>
    <row r="9" customFormat="false" ht="15" hidden="false" customHeight="false" outlineLevel="0" collapsed="false">
      <c r="B9" s="36" t="s">
        <v>113</v>
      </c>
      <c r="C9" s="40" t="n">
        <v>2</v>
      </c>
      <c r="D9" s="41" t="n">
        <v>7525</v>
      </c>
      <c r="E9" s="39" t="n">
        <f aca="false">C9+D9</f>
        <v>7527</v>
      </c>
    </row>
    <row r="10" customFormat="false" ht="15" hidden="false" customHeight="false" outlineLevel="0" collapsed="false">
      <c r="B10" s="36" t="s">
        <v>114</v>
      </c>
      <c r="C10" s="39" t="n">
        <f aca="false">C8+C9</f>
        <v>37</v>
      </c>
      <c r="D10" s="39" t="n">
        <f aca="false">D8+D9</f>
        <v>11299</v>
      </c>
      <c r="E10" s="39" t="n">
        <f aca="false">E8+E9</f>
        <v>11336</v>
      </c>
    </row>
    <row r="12" customFormat="false" ht="21.75" hidden="false" customHeight="true" outlineLevel="0" collapsed="false">
      <c r="A12" s="4" t="s">
        <v>115</v>
      </c>
      <c r="B12" s="4"/>
      <c r="C12" s="4"/>
      <c r="D12" s="4"/>
      <c r="E12" s="4"/>
      <c r="F12" s="4"/>
      <c r="G12" s="4"/>
      <c r="H12" s="4"/>
      <c r="I12" s="4"/>
    </row>
    <row r="13" customFormat="false" ht="15" hidden="false" customHeight="false" outlineLevel="0" collapsed="false">
      <c r="B13" s="42" t="s">
        <v>116</v>
      </c>
      <c r="C13" s="43" t="s">
        <v>117</v>
      </c>
      <c r="D13" s="44" t="n">
        <f aca="false">IFERROR(C8/(C8+C9),0)</f>
        <v>0.945945945945946</v>
      </c>
    </row>
    <row r="14" customFormat="false" ht="15" hidden="false" customHeight="false" outlineLevel="0" collapsed="false">
      <c r="B14" s="45" t="s">
        <v>9</v>
      </c>
      <c r="C14" s="46" t="s">
        <v>118</v>
      </c>
      <c r="D14" s="47" t="n">
        <f aca="false">IFERROR(C8/(C8+D8),0)</f>
        <v>0.00918876345497506</v>
      </c>
    </row>
    <row r="15" customFormat="false" ht="15" hidden="false" customHeight="false" outlineLevel="0" collapsed="false">
      <c r="B15" s="45" t="s">
        <v>119</v>
      </c>
      <c r="C15" s="46" t="s">
        <v>120</v>
      </c>
      <c r="D15" s="47" t="n">
        <f aca="false">IFERROR((C8+D9)/(C8+D8+C9+D9),0)</f>
        <v>0.666901905434016</v>
      </c>
    </row>
    <row r="16" customFormat="false" ht="21.75" hidden="false" customHeight="true" outlineLevel="0" collapsed="false">
      <c r="B16" s="29" t="s">
        <v>134</v>
      </c>
      <c r="C16" s="29"/>
      <c r="D16" s="29"/>
      <c r="E16" s="29"/>
      <c r="F16" s="29"/>
      <c r="G16" s="29"/>
      <c r="H16" s="29"/>
      <c r="I16" s="29"/>
    </row>
    <row r="17" customFormat="false" ht="15" hidden="false" customHeight="false" outlineLevel="0" collapsed="false">
      <c r="B17" s="29"/>
      <c r="C17" s="29"/>
      <c r="D17" s="29"/>
      <c r="E17" s="29"/>
      <c r="F17" s="29"/>
      <c r="G17" s="29"/>
      <c r="H17" s="29"/>
      <c r="I17" s="29"/>
    </row>
  </sheetData>
  <mergeCells count="6">
    <mergeCell ref="A1:I1"/>
    <mergeCell ref="A2:I2"/>
    <mergeCell ref="B4:I4"/>
    <mergeCell ref="A6:I6"/>
    <mergeCell ref="A12:I12"/>
    <mergeCell ref="B16: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46"/>
    <col collapsed="false" customWidth="true" hidden="false" outlineLevel="0" max="4" min="4" style="0" width="14"/>
    <col collapsed="false" customWidth="true" hidden="false" outlineLevel="0" max="5" min="5" style="0" width="12"/>
    <col collapsed="false" customWidth="true" hidden="false" outlineLevel="0" max="8" min="6" style="0" width="14"/>
  </cols>
  <sheetData>
    <row r="1" customFormat="false" ht="30" hidden="false" customHeight="true" outlineLevel="0" collapsed="false">
      <c r="A1" s="1" t="s">
        <v>135</v>
      </c>
      <c r="B1" s="1"/>
      <c r="C1" s="1"/>
      <c r="D1" s="1"/>
      <c r="E1" s="1"/>
      <c r="F1" s="1"/>
      <c r="G1" s="1"/>
      <c r="H1" s="1"/>
    </row>
    <row r="2" customFormat="false" ht="18" hidden="false" customHeight="true" outlineLevel="0" collapsed="false">
      <c r="A2" s="2" t="s">
        <v>136</v>
      </c>
      <c r="B2" s="2"/>
      <c r="C2" s="2"/>
      <c r="D2" s="2"/>
      <c r="E2" s="2"/>
      <c r="F2" s="2"/>
      <c r="G2" s="2"/>
      <c r="H2" s="2"/>
    </row>
    <row r="4" customFormat="false" ht="39.75" hidden="false" customHeight="true" outlineLevel="0" collapsed="false">
      <c r="B4" s="55" t="s">
        <v>137</v>
      </c>
      <c r="C4" s="55"/>
      <c r="D4" s="55"/>
      <c r="E4" s="55"/>
      <c r="F4" s="55"/>
      <c r="G4" s="55"/>
      <c r="H4" s="55"/>
    </row>
    <row r="6" customFormat="false" ht="21.75" hidden="false" customHeight="true" outlineLevel="0" collapsed="false">
      <c r="A6" s="4" t="s">
        <v>138</v>
      </c>
      <c r="B6" s="4"/>
      <c r="C6" s="4"/>
      <c r="D6" s="4"/>
      <c r="E6" s="4"/>
      <c r="F6" s="4"/>
      <c r="G6" s="4"/>
      <c r="H6" s="4"/>
    </row>
    <row r="7" customFormat="false" ht="15" hidden="false" customHeight="false" outlineLevel="0" collapsed="false">
      <c r="B7" s="5" t="s">
        <v>139</v>
      </c>
      <c r="C7" s="5" t="s">
        <v>140</v>
      </c>
      <c r="D7" s="5" t="s">
        <v>141</v>
      </c>
      <c r="E7" s="5" t="s">
        <v>142</v>
      </c>
    </row>
    <row r="8" customFormat="false" ht="24" hidden="false" customHeight="true" outlineLevel="0" collapsed="false">
      <c r="B8" s="6" t="s">
        <v>143</v>
      </c>
      <c r="C8" s="12" t="s">
        <v>144</v>
      </c>
      <c r="D8" s="56" t="n">
        <v>64114</v>
      </c>
      <c r="E8" s="57" t="n">
        <f aca="false">D8/64114</f>
        <v>1</v>
      </c>
    </row>
    <row r="9" customFormat="false" ht="24" hidden="false" customHeight="true" outlineLevel="0" collapsed="false">
      <c r="B9" s="58" t="s">
        <v>145</v>
      </c>
      <c r="C9" s="12" t="s">
        <v>146</v>
      </c>
      <c r="D9" s="59" t="n">
        <v>5344</v>
      </c>
      <c r="E9" s="57" t="n">
        <f aca="false">D9/64114</f>
        <v>0.0833515300870325</v>
      </c>
    </row>
    <row r="10" customFormat="false" ht="24" hidden="false" customHeight="true" outlineLevel="0" collapsed="false">
      <c r="B10" s="6" t="s">
        <v>147</v>
      </c>
      <c r="C10" s="12" t="s">
        <v>148</v>
      </c>
      <c r="D10" s="60" t="n">
        <v>58770</v>
      </c>
      <c r="E10" s="57" t="n">
        <v>1</v>
      </c>
    </row>
    <row r="11" customFormat="false" ht="24" hidden="false" customHeight="true" outlineLevel="0" collapsed="false">
      <c r="B11" s="58" t="s">
        <v>149</v>
      </c>
      <c r="C11" s="12" t="s">
        <v>150</v>
      </c>
      <c r="D11" s="59" t="n">
        <v>14331</v>
      </c>
      <c r="E11" s="57" t="n">
        <f aca="false">D11/58770</f>
        <v>0.243848902501276</v>
      </c>
    </row>
    <row r="12" customFormat="false" ht="24" hidden="false" customHeight="true" outlineLevel="0" collapsed="false">
      <c r="B12" s="58" t="s">
        <v>151</v>
      </c>
      <c r="C12" s="12" t="s">
        <v>152</v>
      </c>
      <c r="D12" s="56" t="n">
        <v>4</v>
      </c>
      <c r="E12" s="57" t="n">
        <f aca="false">D12/58770</f>
        <v>6.80619363620895E-005</v>
      </c>
    </row>
    <row r="13" customFormat="false" ht="24" hidden="false" customHeight="true" outlineLevel="0" collapsed="false">
      <c r="B13" s="58" t="s">
        <v>153</v>
      </c>
      <c r="C13" s="12" t="s">
        <v>154</v>
      </c>
      <c r="D13" s="56" t="n">
        <v>23794</v>
      </c>
      <c r="E13" s="57" t="n">
        <f aca="false">D13/58770</f>
        <v>0.404866428449889</v>
      </c>
    </row>
    <row r="14" customFormat="false" ht="24" hidden="false" customHeight="true" outlineLevel="0" collapsed="false">
      <c r="B14" s="6" t="s">
        <v>155</v>
      </c>
      <c r="C14" s="12" t="s">
        <v>156</v>
      </c>
      <c r="D14" s="61" t="n">
        <v>20641</v>
      </c>
      <c r="E14" s="57" t="n">
        <f aca="false">D14/58770</f>
        <v>0.351216607112472</v>
      </c>
    </row>
    <row r="16" customFormat="false" ht="21.75" hidden="false" customHeight="true" outlineLevel="0" collapsed="false">
      <c r="A16" s="4" t="s">
        <v>157</v>
      </c>
      <c r="B16" s="4"/>
      <c r="C16" s="4"/>
      <c r="D16" s="4"/>
      <c r="E16" s="4"/>
      <c r="F16" s="4"/>
      <c r="G16" s="4"/>
      <c r="H16" s="4"/>
    </row>
    <row r="17" customFormat="false" ht="15" hidden="false" customHeight="false" outlineLevel="0" collapsed="false">
      <c r="B17" s="5" t="s">
        <v>82</v>
      </c>
      <c r="C17" s="5" t="s">
        <v>158</v>
      </c>
      <c r="D17" s="5" t="s">
        <v>159</v>
      </c>
      <c r="E17" s="5" t="s">
        <v>116</v>
      </c>
      <c r="F17" s="5" t="s">
        <v>84</v>
      </c>
    </row>
    <row r="18" customFormat="false" ht="24" hidden="false" customHeight="true" outlineLevel="0" collapsed="false">
      <c r="B18" s="6" t="s">
        <v>160</v>
      </c>
      <c r="C18" s="62" t="n">
        <v>20641</v>
      </c>
      <c r="D18" s="62" t="n">
        <v>58770</v>
      </c>
      <c r="E18" s="63" t="n">
        <f aca="false">C18/D18</f>
        <v>0.351216607112472</v>
      </c>
      <c r="F18" s="64" t="s">
        <v>87</v>
      </c>
    </row>
    <row r="19" customFormat="false" ht="24" hidden="false" customHeight="true" outlineLevel="0" collapsed="false">
      <c r="B19" s="6" t="s">
        <v>161</v>
      </c>
      <c r="C19" s="62" t="n">
        <v>20641</v>
      </c>
      <c r="D19" s="62" t="n">
        <v>23258</v>
      </c>
      <c r="E19" s="65" t="n">
        <f aca="false">C19/D19</f>
        <v>0.88747957691977</v>
      </c>
      <c r="F19" s="66" t="s">
        <v>90</v>
      </c>
    </row>
    <row r="20" customFormat="false" ht="24" hidden="false" customHeight="true" outlineLevel="0" collapsed="false">
      <c r="B20" s="6" t="s">
        <v>162</v>
      </c>
      <c r="C20" s="62" t="n">
        <v>20641</v>
      </c>
      <c r="D20" s="62" t="n">
        <v>21796</v>
      </c>
      <c r="E20" s="65" t="n">
        <f aca="false">C20/D20</f>
        <v>0.94700862543586</v>
      </c>
      <c r="F20" s="66" t="s">
        <v>93</v>
      </c>
    </row>
    <row r="34" customFormat="false" ht="21.75" hidden="false" customHeight="true" outlineLevel="0" collapsed="false">
      <c r="A34" s="4" t="s">
        <v>163</v>
      </c>
      <c r="B34" s="4"/>
      <c r="C34" s="4"/>
      <c r="D34" s="4"/>
      <c r="E34" s="4"/>
      <c r="F34" s="4"/>
      <c r="G34" s="4"/>
      <c r="H34" s="4"/>
    </row>
    <row r="35" customFormat="false" ht="15" hidden="false" customHeight="false" outlineLevel="0" collapsed="false">
      <c r="B35" s="49" t="s">
        <v>5</v>
      </c>
      <c r="C35" s="50" t="s">
        <v>164</v>
      </c>
    </row>
    <row r="36" customFormat="false" ht="15" hidden="false" customHeight="false" outlineLevel="0" collapsed="false">
      <c r="B36" s="51" t="s">
        <v>165</v>
      </c>
      <c r="C36" s="57" t="n">
        <v>0.651</v>
      </c>
    </row>
    <row r="37" customFormat="false" ht="15" hidden="false" customHeight="false" outlineLevel="0" collapsed="false">
      <c r="B37" s="52" t="s">
        <v>130</v>
      </c>
      <c r="C37" s="67" t="n">
        <v>0.947</v>
      </c>
    </row>
    <row r="38" customFormat="false" ht="15" hidden="false" customHeight="false" outlineLevel="0" collapsed="false">
      <c r="B38" s="51" t="s">
        <v>166</v>
      </c>
      <c r="C38" s="57" t="n">
        <v>0.572</v>
      </c>
    </row>
    <row r="39" customFormat="false" ht="15" hidden="false" customHeight="false" outlineLevel="0" collapsed="false">
      <c r="B39" s="51" t="s">
        <v>167</v>
      </c>
      <c r="C39" s="57" t="n">
        <v>0.403</v>
      </c>
    </row>
    <row r="41" customFormat="false" ht="24" hidden="false" customHeight="true" outlineLevel="0" collapsed="false">
      <c r="B41" s="33" t="s">
        <v>168</v>
      </c>
      <c r="C41" s="33"/>
      <c r="D41" s="33"/>
      <c r="E41" s="33"/>
      <c r="F41" s="33"/>
      <c r="G41" s="33"/>
      <c r="H41" s="33"/>
    </row>
    <row r="42" customFormat="false" ht="15" hidden="false" customHeight="false" outlineLevel="0" collapsed="false">
      <c r="B42" s="33"/>
      <c r="C42" s="33"/>
      <c r="D42" s="33"/>
      <c r="E42" s="33"/>
      <c r="F42" s="33"/>
      <c r="G42" s="33"/>
      <c r="H42" s="33"/>
    </row>
  </sheetData>
  <mergeCells count="7">
    <mergeCell ref="A1:H1"/>
    <mergeCell ref="A2:H2"/>
    <mergeCell ref="B4:H4"/>
    <mergeCell ref="A6:H6"/>
    <mergeCell ref="A16:H16"/>
    <mergeCell ref="A34:H34"/>
    <mergeCell ref="B41: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46"/>
    <col collapsed="false" customWidth="true" hidden="false" outlineLevel="0" max="4" min="4" style="0" width="14"/>
    <col collapsed="false" customWidth="true" hidden="false" outlineLevel="0" max="5" min="5" style="0" width="12"/>
    <col collapsed="false" customWidth="true" hidden="false" outlineLevel="0" max="8" min="6" style="0" width="14"/>
  </cols>
  <sheetData>
    <row r="1" customFormat="false" ht="30" hidden="false" customHeight="true" outlineLevel="0" collapsed="false">
      <c r="A1" s="1" t="s">
        <v>169</v>
      </c>
      <c r="B1" s="1"/>
      <c r="C1" s="1"/>
      <c r="D1" s="1"/>
      <c r="E1" s="1"/>
      <c r="F1" s="1"/>
      <c r="G1" s="1"/>
      <c r="H1" s="1"/>
    </row>
    <row r="2" customFormat="false" ht="18" hidden="false" customHeight="true" outlineLevel="0" collapsed="false">
      <c r="A2" s="2" t="s">
        <v>170</v>
      </c>
      <c r="B2" s="2"/>
      <c r="C2" s="2"/>
      <c r="D2" s="2"/>
      <c r="E2" s="2"/>
      <c r="F2" s="2"/>
      <c r="G2" s="2"/>
      <c r="H2" s="2"/>
    </row>
    <row r="4" customFormat="false" ht="39.75" hidden="false" customHeight="true" outlineLevel="0" collapsed="false">
      <c r="B4" s="55" t="s">
        <v>171</v>
      </c>
      <c r="C4" s="55"/>
      <c r="D4" s="55"/>
      <c r="E4" s="55"/>
      <c r="F4" s="55"/>
      <c r="G4" s="55"/>
      <c r="H4" s="55"/>
    </row>
    <row r="6" customFormat="false" ht="21.75" hidden="false" customHeight="true" outlineLevel="0" collapsed="false">
      <c r="A6" s="4" t="s">
        <v>138</v>
      </c>
      <c r="B6" s="4"/>
      <c r="C6" s="4"/>
      <c r="D6" s="4"/>
      <c r="E6" s="4"/>
      <c r="F6" s="4"/>
      <c r="G6" s="4"/>
      <c r="H6" s="4"/>
    </row>
    <row r="7" customFormat="false" ht="15" hidden="false" customHeight="false" outlineLevel="0" collapsed="false">
      <c r="B7" s="5" t="s">
        <v>139</v>
      </c>
      <c r="C7" s="5" t="s">
        <v>140</v>
      </c>
      <c r="D7" s="5" t="s">
        <v>141</v>
      </c>
      <c r="E7" s="5" t="s">
        <v>142</v>
      </c>
    </row>
    <row r="8" customFormat="false" ht="24" hidden="false" customHeight="true" outlineLevel="0" collapsed="false">
      <c r="B8" s="6" t="s">
        <v>143</v>
      </c>
      <c r="C8" s="12" t="s">
        <v>144</v>
      </c>
      <c r="D8" s="56" t="n">
        <v>4681</v>
      </c>
      <c r="E8" s="57" t="n">
        <f aca="false">D8/4681</f>
        <v>1</v>
      </c>
    </row>
    <row r="9" customFormat="false" ht="24" hidden="false" customHeight="true" outlineLevel="0" collapsed="false">
      <c r="B9" s="58" t="s">
        <v>145</v>
      </c>
      <c r="C9" s="12" t="s">
        <v>146</v>
      </c>
      <c r="D9" s="59" t="n">
        <v>316</v>
      </c>
      <c r="E9" s="57" t="n">
        <f aca="false">D9/4681</f>
        <v>0.0675069429609058</v>
      </c>
    </row>
    <row r="10" customFormat="false" ht="24" hidden="false" customHeight="true" outlineLevel="0" collapsed="false">
      <c r="B10" s="6" t="s">
        <v>147</v>
      </c>
      <c r="C10" s="12" t="s">
        <v>148</v>
      </c>
      <c r="D10" s="60" t="n">
        <v>4365</v>
      </c>
      <c r="E10" s="57" t="n">
        <v>1</v>
      </c>
    </row>
    <row r="11" customFormat="false" ht="24" hidden="false" customHeight="true" outlineLevel="0" collapsed="false">
      <c r="B11" s="58" t="s">
        <v>149</v>
      </c>
      <c r="C11" s="12" t="s">
        <v>150</v>
      </c>
      <c r="D11" s="59" t="n">
        <v>1243</v>
      </c>
      <c r="E11" s="57" t="n">
        <f aca="false">D11/4365</f>
        <v>0.284765177548683</v>
      </c>
    </row>
    <row r="12" customFormat="false" ht="24" hidden="false" customHeight="true" outlineLevel="0" collapsed="false">
      <c r="B12" s="58" t="s">
        <v>151</v>
      </c>
      <c r="C12" s="12" t="s">
        <v>152</v>
      </c>
      <c r="D12" s="56" t="n">
        <v>1</v>
      </c>
      <c r="E12" s="57" t="n">
        <f aca="false">D12/4365</f>
        <v>0.000229095074455899</v>
      </c>
    </row>
    <row r="13" customFormat="false" ht="24" hidden="false" customHeight="true" outlineLevel="0" collapsed="false">
      <c r="B13" s="58" t="s">
        <v>153</v>
      </c>
      <c r="C13" s="12" t="s">
        <v>154</v>
      </c>
      <c r="D13" s="56" t="n">
        <v>1540</v>
      </c>
      <c r="E13" s="57" t="n">
        <f aca="false">D13/4365</f>
        <v>0.352806414662085</v>
      </c>
    </row>
    <row r="14" customFormat="false" ht="24" hidden="false" customHeight="true" outlineLevel="0" collapsed="false">
      <c r="B14" s="6" t="s">
        <v>155</v>
      </c>
      <c r="C14" s="12" t="s">
        <v>156</v>
      </c>
      <c r="D14" s="61" t="n">
        <v>1581</v>
      </c>
      <c r="E14" s="57" t="n">
        <f aca="false">D14/4365</f>
        <v>0.362199312714777</v>
      </c>
    </row>
    <row r="16" customFormat="false" ht="21.75" hidden="false" customHeight="true" outlineLevel="0" collapsed="false">
      <c r="A16" s="4" t="s">
        <v>157</v>
      </c>
      <c r="B16" s="4"/>
      <c r="C16" s="4"/>
      <c r="D16" s="4"/>
      <c r="E16" s="4"/>
      <c r="F16" s="4"/>
      <c r="G16" s="4"/>
      <c r="H16" s="4"/>
    </row>
    <row r="17" customFormat="false" ht="15" hidden="false" customHeight="false" outlineLevel="0" collapsed="false">
      <c r="B17" s="5" t="s">
        <v>82</v>
      </c>
      <c r="C17" s="5" t="s">
        <v>158</v>
      </c>
      <c r="D17" s="5" t="s">
        <v>159</v>
      </c>
      <c r="E17" s="5" t="s">
        <v>116</v>
      </c>
      <c r="F17" s="5" t="s">
        <v>84</v>
      </c>
    </row>
    <row r="18" customFormat="false" ht="24" hidden="false" customHeight="true" outlineLevel="0" collapsed="false">
      <c r="B18" s="6" t="s">
        <v>160</v>
      </c>
      <c r="C18" s="62" t="n">
        <v>1581</v>
      </c>
      <c r="D18" s="62" t="n">
        <v>4365</v>
      </c>
      <c r="E18" s="63" t="n">
        <f aca="false">C18/D18</f>
        <v>0.362199312714777</v>
      </c>
      <c r="F18" s="64" t="s">
        <v>87</v>
      </c>
    </row>
    <row r="19" customFormat="false" ht="24" hidden="false" customHeight="true" outlineLevel="0" collapsed="false">
      <c r="B19" s="6" t="s">
        <v>161</v>
      </c>
      <c r="C19" s="62" t="n">
        <v>1581</v>
      </c>
      <c r="D19" s="62" t="n">
        <v>1750</v>
      </c>
      <c r="E19" s="65" t="n">
        <f aca="false">C19/D19</f>
        <v>0.903428571428572</v>
      </c>
      <c r="F19" s="66" t="s">
        <v>90</v>
      </c>
    </row>
    <row r="20" customFormat="false" ht="24" hidden="false" customHeight="true" outlineLevel="0" collapsed="false">
      <c r="B20" s="6" t="s">
        <v>162</v>
      </c>
      <c r="C20" s="62" t="n">
        <v>1581</v>
      </c>
      <c r="D20" s="62" t="n">
        <v>1656</v>
      </c>
      <c r="E20" s="65" t="n">
        <f aca="false">C20/D20</f>
        <v>0.954710144927536</v>
      </c>
      <c r="F20" s="66" t="s">
        <v>93</v>
      </c>
    </row>
    <row r="34" customFormat="false" ht="21.75" hidden="false" customHeight="true" outlineLevel="0" collapsed="false">
      <c r="A34" s="4" t="s">
        <v>163</v>
      </c>
      <c r="B34" s="4"/>
      <c r="C34" s="4"/>
      <c r="D34" s="4"/>
      <c r="E34" s="4"/>
      <c r="F34" s="4"/>
      <c r="G34" s="4"/>
      <c r="H34" s="4"/>
    </row>
    <row r="35" customFormat="false" ht="15" hidden="false" customHeight="false" outlineLevel="0" collapsed="false">
      <c r="B35" s="49" t="s">
        <v>5</v>
      </c>
      <c r="C35" s="50" t="s">
        <v>164</v>
      </c>
    </row>
    <row r="36" customFormat="false" ht="15" hidden="false" customHeight="false" outlineLevel="0" collapsed="false">
      <c r="B36" s="51" t="s">
        <v>165</v>
      </c>
      <c r="C36" s="57" t="n">
        <v>0.782</v>
      </c>
    </row>
    <row r="37" customFormat="false" ht="15" hidden="false" customHeight="false" outlineLevel="0" collapsed="false">
      <c r="B37" s="52" t="s">
        <v>130</v>
      </c>
      <c r="C37" s="67" t="n">
        <v>0.955</v>
      </c>
    </row>
    <row r="38" customFormat="false" ht="15" hidden="false" customHeight="false" outlineLevel="0" collapsed="false">
      <c r="B38" s="51" t="s">
        <v>166</v>
      </c>
      <c r="C38" s="57" t="n">
        <v>0.726</v>
      </c>
    </row>
    <row r="39" customFormat="false" ht="15" hidden="false" customHeight="false" outlineLevel="0" collapsed="false">
      <c r="B39" s="51" t="s">
        <v>172</v>
      </c>
      <c r="C39" s="57" t="n">
        <v>0.77</v>
      </c>
    </row>
  </sheetData>
  <mergeCells count="6">
    <mergeCell ref="A1:H1"/>
    <mergeCell ref="A2:H2"/>
    <mergeCell ref="B4:H4"/>
    <mergeCell ref="A6:H6"/>
    <mergeCell ref="A16:H16"/>
    <mergeCell ref="A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46"/>
    <col collapsed="false" customWidth="true" hidden="false" outlineLevel="0" max="4" min="4" style="0" width="14"/>
    <col collapsed="false" customWidth="true" hidden="false" outlineLevel="0" max="5" min="5" style="0" width="12"/>
    <col collapsed="false" customWidth="true" hidden="false" outlineLevel="0" max="8" min="6" style="0" width="14"/>
  </cols>
  <sheetData>
    <row r="1" customFormat="false" ht="30" hidden="false" customHeight="true" outlineLevel="0" collapsed="false">
      <c r="A1" s="1" t="s">
        <v>173</v>
      </c>
      <c r="B1" s="1"/>
      <c r="C1" s="1"/>
      <c r="D1" s="1"/>
      <c r="E1" s="1"/>
      <c r="F1" s="1"/>
      <c r="G1" s="1"/>
      <c r="H1" s="1"/>
    </row>
    <row r="2" customFormat="false" ht="18" hidden="false" customHeight="true" outlineLevel="0" collapsed="false">
      <c r="A2" s="2" t="s">
        <v>174</v>
      </c>
      <c r="B2" s="2"/>
      <c r="C2" s="2"/>
      <c r="D2" s="2"/>
      <c r="E2" s="2"/>
      <c r="F2" s="2"/>
      <c r="G2" s="2"/>
      <c r="H2" s="2"/>
    </row>
    <row r="4" customFormat="false" ht="39.75" hidden="false" customHeight="true" outlineLevel="0" collapsed="false">
      <c r="B4" s="55" t="s">
        <v>175</v>
      </c>
      <c r="C4" s="55"/>
      <c r="D4" s="55"/>
      <c r="E4" s="55"/>
      <c r="F4" s="55"/>
      <c r="G4" s="55"/>
      <c r="H4" s="55"/>
    </row>
    <row r="6" customFormat="false" ht="21.75" hidden="false" customHeight="true" outlineLevel="0" collapsed="false">
      <c r="A6" s="4" t="s">
        <v>138</v>
      </c>
      <c r="B6" s="4"/>
      <c r="C6" s="4"/>
      <c r="D6" s="4"/>
      <c r="E6" s="4"/>
      <c r="F6" s="4"/>
      <c r="G6" s="4"/>
      <c r="H6" s="4"/>
    </row>
    <row r="7" customFormat="false" ht="15" hidden="false" customHeight="false" outlineLevel="0" collapsed="false">
      <c r="B7" s="5" t="s">
        <v>139</v>
      </c>
      <c r="C7" s="5" t="s">
        <v>140</v>
      </c>
      <c r="D7" s="5" t="s">
        <v>141</v>
      </c>
      <c r="E7" s="5" t="s">
        <v>142</v>
      </c>
    </row>
    <row r="8" customFormat="false" ht="24" hidden="false" customHeight="true" outlineLevel="0" collapsed="false">
      <c r="B8" s="6" t="s">
        <v>143</v>
      </c>
      <c r="C8" s="12" t="s">
        <v>144</v>
      </c>
      <c r="D8" s="56" t="n">
        <v>1229</v>
      </c>
      <c r="E8" s="57" t="n">
        <f aca="false">D8/1229</f>
        <v>1</v>
      </c>
    </row>
    <row r="9" customFormat="false" ht="24" hidden="false" customHeight="true" outlineLevel="0" collapsed="false">
      <c r="B9" s="58" t="s">
        <v>145</v>
      </c>
      <c r="C9" s="12" t="s">
        <v>146</v>
      </c>
      <c r="D9" s="59" t="n">
        <v>0</v>
      </c>
      <c r="E9" s="57" t="n">
        <f aca="false">D9/1229</f>
        <v>0</v>
      </c>
    </row>
    <row r="10" customFormat="false" ht="24" hidden="false" customHeight="true" outlineLevel="0" collapsed="false">
      <c r="B10" s="6" t="s">
        <v>147</v>
      </c>
      <c r="C10" s="12" t="s">
        <v>148</v>
      </c>
      <c r="D10" s="60" t="n">
        <v>1229</v>
      </c>
      <c r="E10" s="57" t="n">
        <v>1</v>
      </c>
    </row>
    <row r="11" customFormat="false" ht="24" hidden="false" customHeight="true" outlineLevel="0" collapsed="false">
      <c r="B11" s="58" t="s">
        <v>149</v>
      </c>
      <c r="C11" s="12" t="s">
        <v>150</v>
      </c>
      <c r="D11" s="59" t="n">
        <v>131</v>
      </c>
      <c r="E11" s="57" t="n">
        <f aca="false">D11/1229</f>
        <v>0.106590724165989</v>
      </c>
    </row>
    <row r="12" customFormat="false" ht="24" hidden="false" customHeight="true" outlineLevel="0" collapsed="false">
      <c r="B12" s="58" t="s">
        <v>151</v>
      </c>
      <c r="C12" s="12" t="s">
        <v>152</v>
      </c>
      <c r="D12" s="56" t="n">
        <v>0</v>
      </c>
      <c r="E12" s="57" t="n">
        <f aca="false">D12/1229</f>
        <v>0</v>
      </c>
    </row>
    <row r="13" customFormat="false" ht="24" hidden="false" customHeight="true" outlineLevel="0" collapsed="false">
      <c r="B13" s="58" t="s">
        <v>153</v>
      </c>
      <c r="C13" s="12" t="s">
        <v>154</v>
      </c>
      <c r="D13" s="56" t="n">
        <v>845</v>
      </c>
      <c r="E13" s="57" t="n">
        <f aca="false">D13/1229</f>
        <v>0.687550854353133</v>
      </c>
    </row>
    <row r="14" customFormat="false" ht="24" hidden="false" customHeight="true" outlineLevel="0" collapsed="false">
      <c r="B14" s="6" t="s">
        <v>155</v>
      </c>
      <c r="C14" s="12" t="s">
        <v>156</v>
      </c>
      <c r="D14" s="61" t="n">
        <v>253</v>
      </c>
      <c r="E14" s="57" t="n">
        <f aca="false">D14/1229</f>
        <v>0.205858421480879</v>
      </c>
    </row>
    <row r="16" customFormat="false" ht="21.75" hidden="false" customHeight="true" outlineLevel="0" collapsed="false">
      <c r="A16" s="4" t="s">
        <v>157</v>
      </c>
      <c r="B16" s="4"/>
      <c r="C16" s="4"/>
      <c r="D16" s="4"/>
      <c r="E16" s="4"/>
      <c r="F16" s="4"/>
      <c r="G16" s="4"/>
      <c r="H16" s="4"/>
    </row>
    <row r="17" customFormat="false" ht="15" hidden="false" customHeight="false" outlineLevel="0" collapsed="false">
      <c r="B17" s="5" t="s">
        <v>82</v>
      </c>
      <c r="C17" s="5" t="s">
        <v>158</v>
      </c>
      <c r="D17" s="5" t="s">
        <v>159</v>
      </c>
      <c r="E17" s="5" t="s">
        <v>116</v>
      </c>
      <c r="F17" s="5" t="s">
        <v>84</v>
      </c>
    </row>
    <row r="18" customFormat="false" ht="24" hidden="false" customHeight="true" outlineLevel="0" collapsed="false">
      <c r="B18" s="6" t="s">
        <v>160</v>
      </c>
      <c r="C18" s="62" t="n">
        <v>253</v>
      </c>
      <c r="D18" s="62" t="n">
        <v>1098</v>
      </c>
      <c r="E18" s="63" t="n">
        <f aca="false">C18/D18</f>
        <v>0.230418943533698</v>
      </c>
      <c r="F18" s="64" t="s">
        <v>87</v>
      </c>
    </row>
    <row r="19" customFormat="false" ht="24" hidden="false" customHeight="true" outlineLevel="0" collapsed="false">
      <c r="B19" s="6" t="s">
        <v>161</v>
      </c>
      <c r="C19" s="62" t="n">
        <v>253</v>
      </c>
      <c r="D19" s="62" t="n">
        <v>272</v>
      </c>
      <c r="E19" s="65" t="n">
        <f aca="false">C19/D19</f>
        <v>0.930147058823529</v>
      </c>
      <c r="F19" s="66" t="s">
        <v>90</v>
      </c>
    </row>
    <row r="20" customFormat="false" ht="24" hidden="false" customHeight="true" outlineLevel="0" collapsed="false">
      <c r="B20" s="6" t="s">
        <v>162</v>
      </c>
      <c r="C20" s="62" t="n">
        <v>253</v>
      </c>
      <c r="D20" s="62" t="n">
        <v>272</v>
      </c>
      <c r="E20" s="65" t="n">
        <f aca="false">C20/D20</f>
        <v>0.930147058823529</v>
      </c>
      <c r="F20" s="66" t="s">
        <v>93</v>
      </c>
    </row>
    <row r="34" customFormat="false" ht="21.75" hidden="false" customHeight="true" outlineLevel="0" collapsed="false">
      <c r="A34" s="4" t="s">
        <v>163</v>
      </c>
      <c r="B34" s="4"/>
      <c r="C34" s="4"/>
      <c r="D34" s="4"/>
      <c r="E34" s="4"/>
      <c r="F34" s="4"/>
      <c r="G34" s="4"/>
      <c r="H34" s="4"/>
    </row>
    <row r="35" customFormat="false" ht="15" hidden="false" customHeight="false" outlineLevel="0" collapsed="false">
      <c r="B35" s="49" t="s">
        <v>5</v>
      </c>
      <c r="C35" s="50" t="s">
        <v>164</v>
      </c>
    </row>
    <row r="36" customFormat="false" ht="15" hidden="false" customHeight="false" outlineLevel="0" collapsed="false">
      <c r="B36" s="51" t="s">
        <v>176</v>
      </c>
      <c r="C36" s="57" t="n">
        <v>0.122</v>
      </c>
    </row>
    <row r="37" customFormat="false" ht="15" hidden="false" customHeight="false" outlineLevel="0" collapsed="false">
      <c r="B37" s="51" t="s">
        <v>177</v>
      </c>
      <c r="C37" s="57" t="n">
        <v>0.93</v>
      </c>
    </row>
    <row r="39" customFormat="false" ht="24" hidden="false" customHeight="true" outlineLevel="0" collapsed="false">
      <c r="B39" s="33" t="s">
        <v>178</v>
      </c>
      <c r="C39" s="33"/>
      <c r="D39" s="33"/>
      <c r="E39" s="33"/>
      <c r="F39" s="33"/>
      <c r="G39" s="33"/>
      <c r="H39" s="33"/>
    </row>
    <row r="40" customFormat="false" ht="15" hidden="false" customHeight="false" outlineLevel="0" collapsed="false">
      <c r="B40" s="33"/>
      <c r="C40" s="33"/>
      <c r="D40" s="33"/>
      <c r="E40" s="33"/>
      <c r="F40" s="33"/>
      <c r="G40" s="33"/>
      <c r="H40" s="33"/>
    </row>
    <row r="43" customFormat="false" ht="21.75" hidden="false" customHeight="true" outlineLevel="0" collapsed="false">
      <c r="A43" s="4" t="s">
        <v>179</v>
      </c>
      <c r="B43" s="4"/>
      <c r="C43" s="4"/>
      <c r="D43" s="4"/>
      <c r="E43" s="4"/>
      <c r="F43" s="4"/>
      <c r="G43" s="4"/>
      <c r="H43" s="4"/>
    </row>
    <row r="44" customFormat="false" ht="15" hidden="false" customHeight="false" outlineLevel="0" collapsed="false">
      <c r="B44" s="12" t="s">
        <v>180</v>
      </c>
      <c r="C44" s="68" t="s">
        <v>181</v>
      </c>
      <c r="D44" s="68"/>
    </row>
    <row r="45" customFormat="false" ht="15" hidden="false" customHeight="false" outlineLevel="0" collapsed="false">
      <c r="B45" s="12" t="s">
        <v>182</v>
      </c>
      <c r="C45" s="68" t="s">
        <v>183</v>
      </c>
      <c r="D45" s="68"/>
    </row>
    <row r="46" customFormat="false" ht="22.35" hidden="false" customHeight="false" outlineLevel="0" collapsed="false">
      <c r="B46" s="12" t="s">
        <v>184</v>
      </c>
      <c r="C46" s="68" t="s">
        <v>185</v>
      </c>
      <c r="D46" s="68"/>
    </row>
    <row r="47" customFormat="false" ht="22.35" hidden="false" customHeight="false" outlineLevel="0" collapsed="false">
      <c r="B47" s="12" t="s">
        <v>186</v>
      </c>
      <c r="C47" s="68" t="s">
        <v>187</v>
      </c>
      <c r="D47" s="68"/>
    </row>
    <row r="48" customFormat="false" ht="15" hidden="false" customHeight="false" outlineLevel="0" collapsed="false">
      <c r="B48" s="12" t="s">
        <v>188</v>
      </c>
      <c r="C48" s="68" t="s">
        <v>43</v>
      </c>
      <c r="D48" s="68"/>
    </row>
    <row r="49" customFormat="false" ht="15" hidden="false" customHeight="false" outlineLevel="0" collapsed="false">
      <c r="B49" s="12" t="s">
        <v>189</v>
      </c>
      <c r="C49" s="68" t="s">
        <v>185</v>
      </c>
      <c r="D49" s="68"/>
    </row>
    <row r="50" customFormat="false" ht="15" hidden="false" customHeight="false" outlineLevel="0" collapsed="false">
      <c r="B50" s="12" t="s">
        <v>190</v>
      </c>
      <c r="C50" s="68" t="s">
        <v>43</v>
      </c>
      <c r="D50" s="68"/>
    </row>
    <row r="51" customFormat="false" ht="15" hidden="false" customHeight="false" outlineLevel="0" collapsed="false">
      <c r="B51" s="12" t="s">
        <v>191</v>
      </c>
      <c r="C51" s="68" t="s">
        <v>192</v>
      </c>
      <c r="D51" s="68"/>
    </row>
  </sheetData>
  <mergeCells count="16">
    <mergeCell ref="A1:H1"/>
    <mergeCell ref="A2:H2"/>
    <mergeCell ref="B4:H4"/>
    <mergeCell ref="A6:H6"/>
    <mergeCell ref="A16:H16"/>
    <mergeCell ref="A34:H34"/>
    <mergeCell ref="B39:H40"/>
    <mergeCell ref="A43:H43"/>
    <mergeCell ref="C44:D44"/>
    <mergeCell ref="C45:D45"/>
    <mergeCell ref="C46:D46"/>
    <mergeCell ref="C47:D47"/>
    <mergeCell ref="C48:D48"/>
    <mergeCell ref="C49:D49"/>
    <mergeCell ref="C50:D50"/>
    <mergeCell ref="C51:D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5"/>
    <col collapsed="false" customWidth="true" hidden="false" outlineLevel="0" max="4" min="4" style="0" width="44"/>
    <col collapsed="false" customWidth="true" hidden="false" outlineLevel="0" max="9" min="5" style="0" width="10"/>
  </cols>
  <sheetData>
    <row r="1" customFormat="false" ht="30" hidden="false" customHeight="true" outlineLevel="0" collapsed="false">
      <c r="A1" s="1" t="s">
        <v>193</v>
      </c>
      <c r="B1" s="1"/>
      <c r="C1" s="1"/>
      <c r="D1" s="1"/>
      <c r="E1" s="1"/>
      <c r="F1" s="1"/>
      <c r="G1" s="1"/>
      <c r="H1" s="1"/>
      <c r="I1" s="1"/>
    </row>
    <row r="2" customFormat="false" ht="18" hidden="false" customHeight="true" outlineLevel="0" collapsed="false">
      <c r="A2" s="2" t="s">
        <v>194</v>
      </c>
      <c r="B2" s="2"/>
      <c r="C2" s="2"/>
      <c r="D2" s="2"/>
      <c r="E2" s="2"/>
      <c r="F2" s="2"/>
      <c r="G2" s="2"/>
      <c r="H2" s="2"/>
      <c r="I2" s="2"/>
    </row>
    <row r="4" customFormat="false" ht="21.75" hidden="false" customHeight="true" outlineLevel="0" collapsed="false">
      <c r="A4" s="69" t="s">
        <v>195</v>
      </c>
      <c r="B4" s="69"/>
      <c r="C4" s="69"/>
      <c r="D4" s="69"/>
      <c r="E4" s="69"/>
      <c r="F4" s="69"/>
      <c r="G4" s="69"/>
      <c r="H4" s="69"/>
      <c r="I4" s="69"/>
    </row>
    <row r="5" customFormat="false" ht="21.75" hidden="false" customHeight="true" outlineLevel="0" collapsed="false">
      <c r="B5" s="70" t="s">
        <v>196</v>
      </c>
      <c r="C5" s="71" t="s">
        <v>197</v>
      </c>
      <c r="D5" s="71"/>
      <c r="E5" s="71"/>
      <c r="F5" s="71"/>
      <c r="G5" s="71"/>
      <c r="H5" s="71"/>
      <c r="I5" s="71"/>
    </row>
    <row r="6" customFormat="false" ht="42" hidden="false" customHeight="true" outlineLevel="0" collapsed="false">
      <c r="B6" s="72" t="s">
        <v>198</v>
      </c>
      <c r="C6" s="72"/>
      <c r="D6" s="72"/>
      <c r="E6" s="72"/>
      <c r="F6" s="72"/>
      <c r="G6" s="72"/>
      <c r="H6" s="72"/>
      <c r="I6" s="72"/>
    </row>
    <row r="7" customFormat="false" ht="22.35" hidden="false" customHeight="false" outlineLevel="0" collapsed="false">
      <c r="B7" s="73" t="s">
        <v>199</v>
      </c>
      <c r="C7" s="74" t="s">
        <v>200</v>
      </c>
      <c r="D7" s="74"/>
    </row>
    <row r="8" customFormat="false" ht="22.35" hidden="false" customHeight="false" outlineLevel="0" collapsed="false">
      <c r="B8" s="73" t="s">
        <v>201</v>
      </c>
      <c r="C8" s="74" t="s">
        <v>202</v>
      </c>
      <c r="D8" s="74"/>
    </row>
    <row r="9" customFormat="false" ht="32.8" hidden="false" customHeight="false" outlineLevel="0" collapsed="false">
      <c r="B9" s="73" t="s">
        <v>203</v>
      </c>
      <c r="C9" s="74" t="s">
        <v>204</v>
      </c>
      <c r="D9" s="74"/>
    </row>
    <row r="10" customFormat="false" ht="22.35" hidden="false" customHeight="false" outlineLevel="0" collapsed="false">
      <c r="B10" s="73" t="s">
        <v>205</v>
      </c>
      <c r="C10" s="74" t="s">
        <v>206</v>
      </c>
      <c r="D10" s="74"/>
    </row>
    <row r="13" customFormat="false" ht="21.75" hidden="false" customHeight="true" outlineLevel="0" collapsed="false">
      <c r="A13" s="4" t="s">
        <v>207</v>
      </c>
      <c r="B13" s="4"/>
      <c r="C13" s="4"/>
      <c r="D13" s="4"/>
      <c r="E13" s="4"/>
      <c r="F13" s="4"/>
      <c r="G13" s="4"/>
      <c r="H13" s="4"/>
      <c r="I13" s="4"/>
    </row>
    <row r="14" customFormat="false" ht="21.75" hidden="false" customHeight="true" outlineLevel="0" collapsed="false">
      <c r="B14" s="75" t="s">
        <v>208</v>
      </c>
      <c r="C14" s="71" t="s">
        <v>209</v>
      </c>
      <c r="D14" s="71"/>
      <c r="E14" s="71"/>
      <c r="F14" s="71"/>
      <c r="G14" s="71"/>
      <c r="H14" s="71"/>
      <c r="I14" s="71"/>
    </row>
    <row r="15" customFormat="false" ht="42" hidden="false" customHeight="true" outlineLevel="0" collapsed="false">
      <c r="B15" s="72" t="s">
        <v>210</v>
      </c>
      <c r="C15" s="72"/>
      <c r="D15" s="72"/>
      <c r="E15" s="72"/>
      <c r="F15" s="72"/>
      <c r="G15" s="72"/>
      <c r="H15" s="72"/>
      <c r="I15" s="72"/>
    </row>
    <row r="16" customFormat="false" ht="15" hidden="false" customHeight="false" outlineLevel="0" collapsed="false">
      <c r="B16" s="73" t="s">
        <v>211</v>
      </c>
      <c r="C16" s="74" t="s">
        <v>212</v>
      </c>
      <c r="D16" s="74"/>
    </row>
    <row r="17" customFormat="false" ht="22.35" hidden="false" customHeight="false" outlineLevel="0" collapsed="false">
      <c r="B17" s="73" t="s">
        <v>213</v>
      </c>
      <c r="C17" s="74" t="s">
        <v>214</v>
      </c>
      <c r="D17" s="74"/>
    </row>
    <row r="18" customFormat="false" ht="15" hidden="false" customHeight="false" outlineLevel="0" collapsed="false">
      <c r="B18" s="73" t="s">
        <v>215</v>
      </c>
      <c r="C18" s="74" t="s">
        <v>216</v>
      </c>
      <c r="D18" s="74"/>
    </row>
    <row r="19" customFormat="false" ht="22.35" hidden="false" customHeight="false" outlineLevel="0" collapsed="false">
      <c r="B19" s="73" t="s">
        <v>217</v>
      </c>
      <c r="C19" s="74" t="s">
        <v>218</v>
      </c>
      <c r="D19" s="74"/>
    </row>
    <row r="22" customFormat="false" ht="21.75" hidden="false" customHeight="true" outlineLevel="0" collapsed="false">
      <c r="A22" s="4" t="s">
        <v>219</v>
      </c>
      <c r="B22" s="4"/>
      <c r="C22" s="4"/>
      <c r="D22" s="4"/>
      <c r="E22" s="4"/>
      <c r="F22" s="4"/>
      <c r="G22" s="4"/>
      <c r="H22" s="4"/>
      <c r="I22" s="4"/>
    </row>
    <row r="23" customFormat="false" ht="21.75" hidden="false" customHeight="true" outlineLevel="0" collapsed="false">
      <c r="B23" s="76" t="s">
        <v>220</v>
      </c>
      <c r="C23" s="71" t="s">
        <v>221</v>
      </c>
      <c r="D23" s="71"/>
      <c r="E23" s="71"/>
      <c r="F23" s="71"/>
      <c r="G23" s="71"/>
      <c r="H23" s="71"/>
      <c r="I23" s="71"/>
    </row>
    <row r="24" customFormat="false" ht="42" hidden="false" customHeight="true" outlineLevel="0" collapsed="false">
      <c r="B24" s="72" t="s">
        <v>222</v>
      </c>
      <c r="C24" s="72"/>
      <c r="D24" s="72"/>
      <c r="E24" s="72"/>
      <c r="F24" s="72"/>
      <c r="G24" s="72"/>
      <c r="H24" s="72"/>
      <c r="I24" s="72"/>
    </row>
    <row r="25" customFormat="false" ht="22.35" hidden="false" customHeight="false" outlineLevel="0" collapsed="false">
      <c r="B25" s="73" t="s">
        <v>223</v>
      </c>
      <c r="C25" s="74" t="s">
        <v>224</v>
      </c>
      <c r="D25" s="74"/>
    </row>
    <row r="26" customFormat="false" ht="15" hidden="false" customHeight="false" outlineLevel="0" collapsed="false">
      <c r="B26" s="73" t="s">
        <v>225</v>
      </c>
      <c r="C26" s="74" t="s">
        <v>226</v>
      </c>
      <c r="D26" s="74"/>
    </row>
    <row r="27" customFormat="false" ht="15" hidden="false" customHeight="false" outlineLevel="0" collapsed="false">
      <c r="B27" s="73" t="s">
        <v>227</v>
      </c>
      <c r="C27" s="74" t="s">
        <v>228</v>
      </c>
      <c r="D27" s="74"/>
    </row>
  </sheetData>
  <mergeCells count="22">
    <mergeCell ref="A1:I1"/>
    <mergeCell ref="A2:I2"/>
    <mergeCell ref="A4:I4"/>
    <mergeCell ref="C5:I5"/>
    <mergeCell ref="B6:I6"/>
    <mergeCell ref="C7:D7"/>
    <mergeCell ref="C8:D8"/>
    <mergeCell ref="C9:D9"/>
    <mergeCell ref="C10:D10"/>
    <mergeCell ref="A13:I13"/>
    <mergeCell ref="C14:I14"/>
    <mergeCell ref="B15:I15"/>
    <mergeCell ref="C16:D16"/>
    <mergeCell ref="C17:D17"/>
    <mergeCell ref="C18:D18"/>
    <mergeCell ref="C19:D19"/>
    <mergeCell ref="A22:I22"/>
    <mergeCell ref="C23:I23"/>
    <mergeCell ref="B24:I24"/>
    <mergeCell ref="C25:D25"/>
    <mergeCell ref="C26:D26"/>
    <mergeCell ref="C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60"/>
    <col collapsed="false" customWidth="true" hidden="false" outlineLevel="0" max="4" min="4" style="0" width="22"/>
  </cols>
  <sheetData>
    <row r="1" customFormat="false" ht="30" hidden="false" customHeight="true" outlineLevel="0" collapsed="false">
      <c r="A1" s="1" t="s">
        <v>229</v>
      </c>
      <c r="B1" s="1"/>
      <c r="C1" s="1"/>
      <c r="D1" s="1"/>
    </row>
    <row r="2" customFormat="false" ht="18" hidden="false" customHeight="true" outlineLevel="0" collapsed="false">
      <c r="A2" s="2" t="s">
        <v>230</v>
      </c>
      <c r="B2" s="2"/>
      <c r="C2" s="2"/>
      <c r="D2" s="2"/>
    </row>
    <row r="4" customFormat="false" ht="15" hidden="false" customHeight="false" outlineLevel="0" collapsed="false">
      <c r="B4" s="5" t="s">
        <v>231</v>
      </c>
      <c r="C4" s="5" t="s">
        <v>232</v>
      </c>
      <c r="D4" s="5" t="s">
        <v>233</v>
      </c>
    </row>
    <row r="5" customFormat="false" ht="33.75" hidden="false" customHeight="true" outlineLevel="0" collapsed="false">
      <c r="B5" s="19" t="s">
        <v>39</v>
      </c>
      <c r="C5" s="58" t="s">
        <v>234</v>
      </c>
      <c r="D5" s="77" t="s">
        <v>235</v>
      </c>
    </row>
    <row r="6" customFormat="false" ht="33.75" hidden="false" customHeight="true" outlineLevel="0" collapsed="false">
      <c r="B6" s="19" t="s">
        <v>41</v>
      </c>
      <c r="C6" s="58" t="s">
        <v>236</v>
      </c>
      <c r="D6" s="77" t="s">
        <v>237</v>
      </c>
    </row>
    <row r="7" customFormat="false" ht="33.75" hidden="false" customHeight="true" outlineLevel="0" collapsed="false">
      <c r="B7" s="19" t="s">
        <v>43</v>
      </c>
      <c r="C7" s="78" t="s">
        <v>238</v>
      </c>
      <c r="D7" s="79" t="s">
        <v>239</v>
      </c>
    </row>
    <row r="8" customFormat="false" ht="33.75" hidden="false" customHeight="true" outlineLevel="0" collapsed="false">
      <c r="B8" s="19" t="s">
        <v>240</v>
      </c>
      <c r="C8" s="58" t="s">
        <v>241</v>
      </c>
      <c r="D8" s="77" t="s">
        <v>242</v>
      </c>
    </row>
    <row r="9" customFormat="false" ht="33.75" hidden="false" customHeight="true" outlineLevel="0" collapsed="false">
      <c r="B9" s="19" t="s">
        <v>183</v>
      </c>
      <c r="C9" s="58" t="s">
        <v>243</v>
      </c>
      <c r="D9" s="77" t="s">
        <v>244</v>
      </c>
    </row>
    <row r="10" customFormat="false" ht="33.75" hidden="false" customHeight="true" outlineLevel="0" collapsed="false">
      <c r="B10" s="19" t="s">
        <v>245</v>
      </c>
      <c r="C10" s="58" t="s">
        <v>246</v>
      </c>
      <c r="D10" s="77" t="s">
        <v>242</v>
      </c>
    </row>
    <row r="12" customFormat="false" ht="45.75" hidden="false" customHeight="true" outlineLevel="0" collapsed="false">
      <c r="B12" s="80" t="s">
        <v>247</v>
      </c>
      <c r="C12" s="80"/>
      <c r="D12" s="80"/>
    </row>
  </sheetData>
  <mergeCells count="3">
    <mergeCell ref="A1:D1"/>
    <mergeCell ref="A2:D2"/>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2026-09-17T09:56:05Z</dcterms:created>
  <dc:creator>openpyxl</dc:creator>
  <dc:description/>
  <dc:language>en-US</dc:language>
  <cp:lastModifiedBy/>
  <dcterms:modified xsi:type="dcterms:W3CDTF">2026-09-17T09:56:06Z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